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code\otherProjects\27_Evaluation\tpl\"/>
    </mc:Choice>
  </mc:AlternateContent>
  <xr:revisionPtr revIDLastSave="0" documentId="13_ncr:1_{2917C04E-4F1B-46C8-8544-D2F7EAA85B97}" xr6:coauthVersionLast="47" xr6:coauthVersionMax="47" xr10:uidLastSave="{00000000-0000-0000-0000-000000000000}"/>
  <bookViews>
    <workbookView xWindow="-110" yWindow="-110" windowWidth="19420" windowHeight="10420" activeTab="1" xr2:uid="{00000000-000D-0000-FFFF-FFFF00000000}"/>
  </bookViews>
  <sheets>
    <sheet name="项目特征" sheetId="4" r:id="rId1"/>
    <sheet name="规模估算" sheetId="1" r:id="rId2"/>
    <sheet name="费用估算" sheetId="2" r:id="rId3"/>
    <sheet name="模板使用说明&amp;基础参数" sheetId="3" r:id="rId4"/>
  </sheets>
  <definedNames>
    <definedName name="_xlnm._FilterDatabase" localSheetId="1" hidden="1">规模估算!$A$5:$N$54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3" i="2" l="1"/>
  <c r="G13" i="2"/>
  <c r="C14" i="2"/>
  <c r="G14" i="2"/>
  <c r="J44" i="1"/>
  <c r="M44" i="1"/>
  <c r="J45" i="1"/>
  <c r="M45" i="1"/>
  <c r="J46" i="1"/>
  <c r="M46" i="1"/>
  <c r="J47" i="1"/>
  <c r="M47" i="1"/>
  <c r="J48" i="1"/>
  <c r="M48" i="1"/>
  <c r="J49" i="1"/>
  <c r="M49" i="1"/>
  <c r="J50" i="1"/>
  <c r="M50" i="1"/>
  <c r="J51" i="1"/>
  <c r="M51" i="1"/>
  <c r="J52" i="1"/>
  <c r="M52" i="1"/>
  <c r="J53" i="1"/>
  <c r="M53" i="1"/>
  <c r="G3" i="2"/>
  <c r="G5" i="2"/>
  <c r="G11" i="2"/>
  <c r="G21" i="2"/>
  <c r="G25" i="2"/>
  <c r="G32" i="2"/>
  <c r="F13" i="2"/>
  <c r="F14" i="2"/>
  <c r="J32" i="1"/>
  <c r="M32" i="1"/>
  <c r="J33" i="1"/>
  <c r="M33" i="1"/>
  <c r="J34" i="1"/>
  <c r="M34" i="1"/>
  <c r="J35" i="1"/>
  <c r="M35" i="1"/>
  <c r="J36" i="1"/>
  <c r="M36" i="1"/>
  <c r="J37" i="1"/>
  <c r="M37" i="1"/>
  <c r="J38" i="1"/>
  <c r="M38" i="1"/>
  <c r="J39" i="1"/>
  <c r="M39" i="1"/>
  <c r="J40" i="1"/>
  <c r="M40" i="1"/>
  <c r="J41" i="1"/>
  <c r="M41" i="1"/>
  <c r="J42" i="1"/>
  <c r="M42" i="1"/>
  <c r="J43" i="1"/>
  <c r="M43" i="1"/>
  <c r="F3" i="2"/>
  <c r="F5" i="2"/>
  <c r="F11" i="2"/>
  <c r="F21" i="2"/>
  <c r="F25" i="2"/>
  <c r="F32" i="2"/>
  <c r="E13" i="2"/>
  <c r="E14" i="2"/>
  <c r="J6" i="1"/>
  <c r="M6" i="1"/>
  <c r="J7" i="1"/>
  <c r="M7" i="1"/>
  <c r="J8" i="1"/>
  <c r="M8" i="1"/>
  <c r="J9" i="1"/>
  <c r="M9" i="1"/>
  <c r="J10" i="1"/>
  <c r="M10" i="1"/>
  <c r="J11" i="1"/>
  <c r="M11" i="1"/>
  <c r="J12" i="1"/>
  <c r="M12" i="1"/>
  <c r="J13" i="1"/>
  <c r="M13" i="1"/>
  <c r="J14" i="1"/>
  <c r="M14" i="1"/>
  <c r="J15" i="1"/>
  <c r="M15" i="1"/>
  <c r="J16" i="1"/>
  <c r="M16" i="1"/>
  <c r="J17" i="1"/>
  <c r="M17" i="1"/>
  <c r="J18" i="1"/>
  <c r="M18" i="1"/>
  <c r="J19" i="1"/>
  <c r="M19" i="1"/>
  <c r="J20" i="1"/>
  <c r="M20" i="1"/>
  <c r="J21" i="1"/>
  <c r="M21" i="1"/>
  <c r="J22" i="1"/>
  <c r="M22" i="1"/>
  <c r="J23" i="1"/>
  <c r="M23" i="1"/>
  <c r="J24" i="1"/>
  <c r="M24" i="1"/>
  <c r="J25" i="1"/>
  <c r="M25" i="1"/>
  <c r="J26" i="1"/>
  <c r="M26" i="1"/>
  <c r="J27" i="1"/>
  <c r="M27" i="1"/>
  <c r="J28" i="1"/>
  <c r="M28" i="1"/>
  <c r="J29" i="1"/>
  <c r="M29" i="1"/>
  <c r="J30" i="1"/>
  <c r="M30" i="1"/>
  <c r="J31" i="1"/>
  <c r="M31" i="1"/>
  <c r="E3" i="2"/>
  <c r="E5" i="2"/>
  <c r="E11" i="2"/>
  <c r="E21" i="2"/>
  <c r="E25" i="2"/>
  <c r="E32" i="2"/>
  <c r="D32" i="2"/>
  <c r="G10" i="2"/>
  <c r="G20" i="2"/>
  <c r="G24" i="2"/>
  <c r="G31" i="2"/>
  <c r="F10" i="2"/>
  <c r="F20" i="2"/>
  <c r="F24" i="2"/>
  <c r="F31" i="2"/>
  <c r="E10" i="2"/>
  <c r="E20" i="2"/>
  <c r="E24" i="2"/>
  <c r="E31" i="2"/>
  <c r="D31" i="2"/>
  <c r="G9" i="2"/>
  <c r="G19" i="2"/>
  <c r="G23" i="2"/>
  <c r="G30" i="2"/>
  <c r="F9" i="2"/>
  <c r="F19" i="2"/>
  <c r="F23" i="2"/>
  <c r="F30" i="2"/>
  <c r="E9" i="2"/>
  <c r="E19" i="2"/>
  <c r="E23" i="2"/>
  <c r="E30" i="2"/>
  <c r="D30" i="2"/>
  <c r="G29" i="2"/>
  <c r="F29" i="2"/>
  <c r="E29" i="2"/>
  <c r="D29" i="2"/>
  <c r="C21" i="2"/>
  <c r="C29" i="2"/>
  <c r="G28" i="2"/>
  <c r="F28" i="2"/>
  <c r="E28" i="2"/>
  <c r="D28" i="2"/>
  <c r="C20" i="2"/>
  <c r="C28" i="2"/>
  <c r="G27" i="2"/>
  <c r="F27" i="2"/>
  <c r="E27" i="2"/>
  <c r="D27" i="2"/>
  <c r="C19" i="2"/>
  <c r="C27" i="2"/>
  <c r="D25" i="2"/>
  <c r="D24" i="2"/>
  <c r="D23" i="2"/>
  <c r="D22" i="2"/>
  <c r="D21" i="2"/>
  <c r="D20" i="2"/>
  <c r="D19" i="2"/>
  <c r="D18" i="2"/>
  <c r="G17" i="2"/>
  <c r="F17" i="2"/>
  <c r="E17" i="2"/>
  <c r="G16" i="2"/>
  <c r="F16" i="2"/>
  <c r="E16" i="2"/>
  <c r="C16" i="2"/>
  <c r="G15" i="2"/>
  <c r="F15" i="2"/>
  <c r="E15" i="2"/>
  <c r="C15" i="2"/>
  <c r="G12" i="2"/>
  <c r="F12" i="2"/>
  <c r="E12" i="2"/>
  <c r="C12" i="2"/>
  <c r="D11" i="2"/>
  <c r="C11" i="2"/>
  <c r="D10" i="2"/>
  <c r="C10" i="2"/>
  <c r="D9" i="2"/>
  <c r="C9" i="2"/>
  <c r="G8" i="2"/>
  <c r="F8" i="2"/>
  <c r="E8" i="2"/>
  <c r="C8" i="2"/>
  <c r="G6" i="2"/>
  <c r="F6" i="2"/>
  <c r="E6" i="2"/>
  <c r="C6" i="2"/>
  <c r="D5" i="2"/>
  <c r="C5" i="2"/>
  <c r="G4" i="2"/>
  <c r="F4" i="2"/>
  <c r="E4" i="2"/>
  <c r="C4" i="2"/>
  <c r="D3" i="2"/>
  <c r="G2" i="2"/>
  <c r="F2" i="2"/>
  <c r="E2" i="2"/>
  <c r="M54" i="1"/>
  <c r="J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C3" i="1"/>
  <c r="C2" i="1"/>
  <c r="D9" i="4"/>
  <c r="D8" i="4"/>
  <c r="D7" i="4"/>
  <c r="D6" i="4"/>
  <c r="D5" i="4"/>
  <c r="D4" i="4"/>
  <c r="D3" i="4"/>
  <c r="D2" i="4"/>
  <c r="D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K5" authorId="0" shapeId="0" xr:uid="{00000000-0006-0000-0100-000001000000}">
      <text>
        <r>
          <rPr>
            <sz val="9"/>
            <rFont val="宋体"/>
            <charset val="134"/>
          </rPr>
          <t>请选择重用程度，缺省为“低”。</t>
        </r>
      </text>
    </comment>
    <comment ref="L5" authorId="0" shapeId="0" xr:uid="{00000000-0006-0000-0100-000002000000}">
      <text>
        <r>
          <rPr>
            <sz val="9"/>
            <rFont val="宋体"/>
            <charset val="134"/>
          </rPr>
          <t>请选择修改类型，缺省为“新增”。</t>
        </r>
      </text>
    </comment>
  </commentList>
</comments>
</file>

<file path=xl/sharedStrings.xml><?xml version="1.0" encoding="utf-8"?>
<sst xmlns="http://schemas.openxmlformats.org/spreadsheetml/2006/main" count="451" uniqueCount="261">
  <si>
    <t>规模计数时机</t>
  </si>
  <si>
    <t>估算中期</t>
  </si>
  <si>
    <t>应用类型</t>
  </si>
  <si>
    <t>业务处理</t>
  </si>
  <si>
    <t>质量特性</t>
  </si>
  <si>
    <t>分布式处理</t>
  </si>
  <si>
    <t>通过网络进行客户端/服务器及网络基础应用分布处理和传输</t>
  </si>
  <si>
    <t>性能</t>
  </si>
  <si>
    <t>应答时间或处理率对高峰时间或所有业务时间来说都很重要，存在对连动系统结束处理时间的限制</t>
  </si>
  <si>
    <t>可靠性</t>
  </si>
  <si>
    <t>发生故障时带来较多不便或经济损失</t>
  </si>
  <si>
    <t>多重站点</t>
  </si>
  <si>
    <t>在设计阶段需要考虑不同站点的相似硬件或软件环境下运行需求</t>
  </si>
  <si>
    <t>完整性级别</t>
  </si>
  <si>
    <t>没有明确的完整性级别或等级为C/D</t>
  </si>
  <si>
    <t>开发语言</t>
  </si>
  <si>
    <t>JAVA、C++、C#及其他同级别语言/平台</t>
  </si>
  <si>
    <t>开发团队背景</t>
  </si>
  <si>
    <t>为本行业开发过类似的软件</t>
  </si>
  <si>
    <t>规模估算方法</t>
  </si>
  <si>
    <t>估算功能点</t>
  </si>
  <si>
    <t>请选择规模估算方法，缺省为“估算功能点”</t>
  </si>
  <si>
    <t>功能点合计</t>
  </si>
  <si>
    <t>单位：FP</t>
  </si>
  <si>
    <t>调整后功能点</t>
  </si>
  <si>
    <t>编号</t>
  </si>
  <si>
    <t>涉及系统名称</t>
  </si>
  <si>
    <t>一级模块</t>
  </si>
  <si>
    <t>二级模块</t>
  </si>
  <si>
    <t>三级模块</t>
  </si>
  <si>
    <t>四级模块</t>
  </si>
  <si>
    <t>功能项描述</t>
  </si>
  <si>
    <t>功能点计数项名称</t>
  </si>
  <si>
    <t>类别</t>
  </si>
  <si>
    <t>UFP</t>
  </si>
  <si>
    <t>重用程度</t>
  </si>
  <si>
    <t>修改类型</t>
  </si>
  <si>
    <t>US</t>
  </si>
  <si>
    <t>备注</t>
  </si>
  <si>
    <t>新一代电子票据系统</t>
  </si>
  <si>
    <t>票据系统新增票据标识录入功能</t>
  </si>
  <si>
    <t>票据系统新增承兑申请票据标识录入功能，在信贷发起承兑申请批次时，票据系统收到承兑申请批次信息，在挑票前，可以对该承兑批次的票据进行票据标识录入</t>
  </si>
  <si>
    <t>承兑申请票据标识录入</t>
  </si>
  <si>
    <t>EI</t>
  </si>
  <si>
    <t>中</t>
  </si>
  <si>
    <t>新增</t>
  </si>
  <si>
    <t>承兑批次表增加票据标识字段</t>
  </si>
  <si>
    <t>承兑申请票据信息</t>
  </si>
  <si>
    <t>ILF</t>
  </si>
  <si>
    <t>高</t>
  </si>
  <si>
    <t>修改</t>
  </si>
  <si>
    <t>增加票据号码映射票据标识表，对打标的票据标识数据进行保存</t>
  </si>
  <si>
    <t>已识别</t>
  </si>
  <si>
    <t>票据系统新增票据标识接口</t>
  </si>
  <si>
    <t>票据系统新增票据标识接口，只有客户在网银做完贴现申请后，信贷根据票据维度向票据系统发起请求，查询票据的票据标识信息，票据系统将票交所返回的“科技(科技型企业)”标识返回给信贷系统</t>
  </si>
  <si>
    <t>票据标识信息查询</t>
  </si>
  <si>
    <t>EQ</t>
  </si>
  <si>
    <t>票据系统新增票据标识结果返回接口</t>
  </si>
  <si>
    <t>票据系统新增票据标识结果返回接口，客户经理在票据系统做完承兑记账后，记账成功且签收成功后，票据系统根据票据维度将将票交所返回的“科技(科技型企业)”标识返回给信贷系统</t>
  </si>
  <si>
    <t>票据标识结果返回</t>
  </si>
  <si>
    <t>票据系统新增承兑票据标识修改功能</t>
  </si>
  <si>
    <t>票据系统新增承兑申请票据标识录入功能，在信贷发起承兑申请批次时，票据系统收到承兑申请批次信息，在挑票前，可以对该承兑批次录入的票据标识进行修改，同时支持出账后修改票据标识。“科技（科技型企业）”标识不可修改</t>
  </si>
  <si>
    <t>承兑申请票据信息修改</t>
  </si>
  <si>
    <t>票据系统新增承兑票据标识删除功能</t>
  </si>
  <si>
    <t>票据系统新增承兑申请票据标识录入功能，在信贷发起承兑申请批次时，票据系统收到承兑申请批次信息，在挑票前，可以对该承兑批次录入的票据标识进行删除，同时支持出账后删除票据标识。“科技（科技型企业）”标识不可删除</t>
  </si>
  <si>
    <t>承兑申请票据信息删除</t>
  </si>
  <si>
    <t>票据系统票据标识批量模板下载功能</t>
  </si>
  <si>
    <t>票据系统新增批量模板下载功能，提供给客户经理批量导入功能的模板</t>
  </si>
  <si>
    <t>票据标识批量模板下载</t>
  </si>
  <si>
    <t>票据系统票据标识批量导入功能</t>
  </si>
  <si>
    <t>票据系统新增承兑申请票据标识录入功能，在信贷发起承兑申请批次时，票据系统收到承兑申请批次信息，在挑票前，可以通过导入文件对该批次的票进行批量录入票据标识的功能</t>
  </si>
  <si>
    <t>票据系统新增承兑票据标识登记申请功能</t>
  </si>
  <si>
    <t>票据系统新增承兑票据标识发送票交所登记申请功能，出票时票据标识登记申请随CIM017报文发送票交所</t>
  </si>
  <si>
    <t>承兑票据标识登记申请</t>
  </si>
  <si>
    <t>票据系统新增承兑票据标识自动登记功能</t>
  </si>
  <si>
    <t>票据系统新增承兑票据标识自动登记功能，收到收票人签收报文后后自动登记票据标识功能、自动登记并发控制</t>
  </si>
  <si>
    <t>承兑票据标识自动登记</t>
  </si>
  <si>
    <t>票据系统新增票据标识清退功能</t>
  </si>
  <si>
    <t>票据系统新增出票票据标识-清退处理功能，对于承兑拒绝、到期清退出票票据标识清退处理</t>
  </si>
  <si>
    <t>出票票据标识-清退处理</t>
  </si>
  <si>
    <t>票据系统新增承兑票据标识跟踪查询功能</t>
  </si>
  <si>
    <t>票据系统新增承兑票据标识跟踪查询功能，票据标识跟踪界面-查询出票和贴现票据的票据标识</t>
  </si>
  <si>
    <t>承兑票据标识跟踪查询</t>
  </si>
  <si>
    <t>票据系统新增承兑票据标识自动报送定时任务</t>
  </si>
  <si>
    <t>在承兑签收后，票据系统新增定时任务对打标的票据信息实现自动报送票交所的功能</t>
  </si>
  <si>
    <t>承兑票据标识自动报送</t>
  </si>
  <si>
    <t>票据系统新增贴现出账申请接收票据标识功能</t>
  </si>
  <si>
    <t>票据系统新增信贷系统贴现出账申请接收票据标识功能，将信贷系统送过来的票据标识保存在票据系统，同时增加票据号码映射票据标识表，对打标的票据标识数据进行保存</t>
  </si>
  <si>
    <t>贴现出账申请接收</t>
  </si>
  <si>
    <t>贴现批次表增加票据标识字段</t>
  </si>
  <si>
    <t>贴现批次信息</t>
  </si>
  <si>
    <t>票据系统新增贴现出账票据标识修改功能</t>
  </si>
  <si>
    <t>票据系统新增信贷系统贴现出账票据标识修改功能，在票据系统能支持票据标识修改功能</t>
  </si>
  <si>
    <t>贴现出账票据标识修改</t>
  </si>
  <si>
    <t>票据系统新增贴现出账票据标识删除功能</t>
  </si>
  <si>
    <t>票据系统新增信贷系统贴现出账票据标识删除功能，在票据系统能支持票据标识修改功能</t>
  </si>
  <si>
    <t>贴现出账票据标识删除</t>
  </si>
  <si>
    <t>票据系统新增贴现票据标识登记申请功能</t>
  </si>
  <si>
    <t>票据系统新增贴现票据标识发送票交所登记申请功能，出票时票据标识登记申请随CIM017报文发送票交所</t>
  </si>
  <si>
    <t>贴现票据标识登记申请</t>
  </si>
  <si>
    <t>票据系统新增贴现票据标识自动报送定时任务</t>
  </si>
  <si>
    <t>在贴现签收后，票据系统新增定时任务对打标的票据信息实现自动报送票交所的功能</t>
  </si>
  <si>
    <t>贴现票据标识自动报送</t>
  </si>
  <si>
    <t>票据系统新增贴现票据标识跟踪查询功能</t>
  </si>
  <si>
    <t>票据系统新增贴现票据标识跟踪查询功能，票据标识跟踪界面-查询出票和贴现票据的票据标识</t>
  </si>
  <si>
    <t>贴现票据标识跟踪查询</t>
  </si>
  <si>
    <t>票据系统新增存量票据票据标识录入功能</t>
  </si>
  <si>
    <t>票据系统新增存量票据票据标识录入功能，实现对存量票据进行打标功能</t>
  </si>
  <si>
    <t>存量票据票据标识录入</t>
  </si>
  <si>
    <t>票据系统新增出票票据标识查询功能</t>
  </si>
  <si>
    <t>票据系统新增出票标识查询功能，对已经维护的票据标识票据进行查询功能</t>
  </si>
  <si>
    <t>出票票据标识查询</t>
  </si>
  <si>
    <t>票据系统新增产业属性信息解析功能</t>
  </si>
  <si>
    <t>产业属性信息解析保存</t>
  </si>
  <si>
    <t>低</t>
  </si>
  <si>
    <t>对票交所下发的cim025报文信息保存在票据产业属性信息登记信息表</t>
  </si>
  <si>
    <t>票据系统新增产业属性信息查询功能</t>
  </si>
  <si>
    <t>票据系统新增产业属性信息查询功能，对票交所下发的产业属性信息进行展示</t>
  </si>
  <si>
    <t>产业属性信息查询</t>
  </si>
  <si>
    <t>数据报送平台</t>
  </si>
  <si>
    <t>数据报送平台《存量科技贷款信息》相关改造功能</t>
  </si>
  <si>
    <t>数据报送平台修改数据加工口径，统计相关业务数据信息，《存量科技贷款信息》中是否为科技贷款以及各项科技贷款分类需从信贷系统进行获取</t>
  </si>
  <si>
    <t>《存量科技贷款信息》报表</t>
  </si>
  <si>
    <t>EO</t>
  </si>
  <si>
    <t>系统前台根据修订内容相应调整删除、新增、修改、删除、详情、提交审批、下载EXCEL、导入数据、按照报送要素多维度查询修改、批量校验、精准校验、数据打包、数据报送功能</t>
  </si>
  <si>
    <t>《存量科技贷款信息》报表数据信息</t>
  </si>
  <si>
    <t>数据报送平台《科技贷款发生额信息》相关改造功能</t>
  </si>
  <si>
    <t>数据报送平台修改数据加工口径，统计相关业务数据信息，《科技贷款发生额信息》中是否为科技贷款以及各项科技贷款分类需从信贷系统进行获取</t>
  </si>
  <si>
    <t>《科技贷款发生额信息》报表</t>
  </si>
  <si>
    <t>《科技贷款发生额信息》报表数据信息</t>
  </si>
  <si>
    <t>数据报送平台《存量数字经济产业贷款信息》相关改造功能</t>
  </si>
  <si>
    <t>数据报送平台修改数据加工口径，统计相关业务数据信息，《存量数字经济产业贷款信息》中是否为数字经济产业贷款需从信贷系统进行获取</t>
  </si>
  <si>
    <t>《存量数字经济产业贷款信息》报表</t>
  </si>
  <si>
    <t>《存量数字经济产业贷款信息》报表数据信息</t>
  </si>
  <si>
    <t>数据报送平台《数字经济产业贷款发生额信息》相关改造功能</t>
  </si>
  <si>
    <t>数据报送平台修改数据加工口径，统计相关业务数据信息，《数字经济产业贷款发生额信息》中是否为数字经济产业贷款需从信贷系统进行获取</t>
  </si>
  <si>
    <t>《数字经济产业贷款发生额信息》报表</t>
  </si>
  <si>
    <t>《数字经济产业贷款发生额信息》报表数据信息</t>
  </si>
  <si>
    <t>数据报送平台《存量专项贷款信息_山东》相关改造功能</t>
  </si>
  <si>
    <t>数据报送平台修改数据加工口径，统计相关业务数据信息，《存量专项贷款信息_山东》中是否为数字经济产业贷款、是否为科技贷款以及各项科技贷款分类需从信贷系统进行获取</t>
  </si>
  <si>
    <t>《存量专项贷款信息_山东》报表</t>
  </si>
  <si>
    <t>《存量专项贷款信息_山东》报表数据信息</t>
  </si>
  <si>
    <t>数据报送平台《专项贷款发生额信息_山东》相关改造功能</t>
  </si>
  <si>
    <t>数据报送平台修改数据加工口径，统计相关业务数据信息，《专项贷款发生额信息_山东》中是否为数字经济产业贷款、是否为科技贷款以及各项科技贷款分类需从信贷系统进行获取</t>
  </si>
  <si>
    <t>《专项贷款发生额信息_山东》报表</t>
  </si>
  <si>
    <t>《专项贷款发生额信息_山东》报表数据信息</t>
  </si>
  <si>
    <t>信贷系统</t>
  </si>
  <si>
    <t>信贷系统新增产业属性信息</t>
  </si>
  <si>
    <t>对“银行承兑汇票承兑、银行承兑汇票贴现、商业承兑汇票贴现”三项业务，在信贷系统“授信流程-&gt;公司客户授信流程-&gt;额度项下业务申请”，或“授信流程-&gt;公司客户授信流程-&gt;单报单批申请”的【申请详情】页面，新增【产业属性信息】字段</t>
  </si>
  <si>
    <t>授信流程-额度项下业务申请</t>
  </si>
  <si>
    <t xml:space="preserve"> </t>
  </si>
  <si>
    <t>授信流程-单报单批申请</t>
  </si>
  <si>
    <t>信贷系统新增“科技相关产业票据”取数规则并展示“②科技(科技相关产业)”信息</t>
  </si>
  <si>
    <t>对“银行承兑汇票承兑、银行承兑汇票贴现、商业承兑汇票贴现”三项业务，由信贷系统，按表内业务“科技相关产业贷款”规则，对信贷系统“授信流程-&gt;公司客户授信流程-&gt;额度项下业务申请”，或“授信流程-&gt;公司客户授信流程-&gt;单报单批申请”的【申请详情】页面的【行业投向】字段进行判断，判断后生成数据</t>
  </si>
  <si>
    <t>额度项下业务申请下申请信息保存</t>
  </si>
  <si>
    <t>单报单批申请下申请信息保存</t>
  </si>
  <si>
    <t>信贷系统新增“绿色票据”取数规则并展示“③绿色”信息</t>
  </si>
  <si>
    <t>对“银行承兑汇票承兑、银行承兑汇票贴现、商业承兑汇票贴现”三项业务，由信贷系统，筛选“是否纳入绿色金融支持项目目录”中为“是”的业务，生成数据</t>
  </si>
  <si>
    <t>绿色票据信息查询</t>
  </si>
  <si>
    <t>信贷系统新增“普惠票据”取数规则并展示“④普惠”信息</t>
  </si>
  <si>
    <t>对“银行承兑汇票承兑、银行承兑汇票贴现、商业承兑汇票贴现”三项业务，由信贷系统，按如下规则，筛选业务生成数据。两个条件需同时满足</t>
  </si>
  <si>
    <t>普惠票据信息查询</t>
  </si>
  <si>
    <t>信贷系统新增承兑业务“是否养老产业投向”、“养老产业投向分类”字段并展示“⑤养老”信息</t>
  </si>
  <si>
    <t>对“银行承兑汇票承兑”业务，在信贷系统“授信流程-&gt;公司客户授信流程-&gt;额度项下业务申请”，或“授信流程-&gt;公司客户授信流程-&gt;单报单批申请”的【申请详情】页面，新增【是否养老产业投向】字段、新增【养老产业投向分类】字段</t>
  </si>
  <si>
    <t>额度项下业务申请详情查询</t>
  </si>
  <si>
    <t>单报单批申请详情查询</t>
  </si>
  <si>
    <t>3.28 统新增“数字经济核心产业票据”取数规则并展示“⑥数字”信息</t>
  </si>
  <si>
    <t>对“银行承兑汇票承兑、银行承兑汇票贴现、商业承兑汇票贴现”三项业务，由信贷系统，按表内业务“数字经济产业贷款类型”规则，对信贷系统“授信流程-&gt;公司客户授信流程-&gt;额度项下业务申请”，或“授信流程-&gt;公司客户授信流程-&gt;单报单批申请”的【申请详情】页面，【行业投向】字段进行判断，判断后生成数据</t>
  </si>
  <si>
    <t>信贷系统修改出账交易</t>
  </si>
  <si>
    <t>对“银行承兑汇票承兑、银行承兑汇票贴现、商业承兑汇票贴现”三项业务，由信贷系统，出账时将产业属性信息相关标识发送给电票系统</t>
  </si>
  <si>
    <t>出账交易</t>
  </si>
  <si>
    <t>合计</t>
  </si>
  <si>
    <t>涉及系统</t>
  </si>
  <si>
    <t>多系统</t>
  </si>
  <si>
    <t>说明</t>
  </si>
  <si>
    <t>多系统合计</t>
  </si>
  <si>
    <t>规模估算结果（单位：功能点）</t>
  </si>
  <si>
    <t>未进行功能吻合度调整</t>
  </si>
  <si>
    <t>规模变更调整因子取值</t>
  </si>
  <si>
    <t>根据估算时机取值</t>
  </si>
  <si>
    <t>调整后规模（单位：功能点）</t>
  </si>
  <si>
    <t>系统分类</t>
  </si>
  <si>
    <t>生产率</t>
  </si>
  <si>
    <t>基准生产率（单位：人时/功能点）</t>
  </si>
  <si>
    <t>生产系统</t>
  </si>
  <si>
    <t>按照类别选择合适的生产率</t>
  </si>
  <si>
    <t>管理类系统</t>
  </si>
  <si>
    <t>ESB</t>
  </si>
  <si>
    <t>未调整工作量（单位：人天）</t>
  </si>
  <si>
    <t>下限</t>
  </si>
  <si>
    <t>大数据平台</t>
  </si>
  <si>
    <t>中值</t>
  </si>
  <si>
    <t>上限</t>
  </si>
  <si>
    <t>调整因子</t>
  </si>
  <si>
    <t>业务处理系统</t>
  </si>
  <si>
    <t>无特别限定</t>
  </si>
  <si>
    <t>地区因素</t>
  </si>
  <si>
    <t>地区人员单价系数</t>
  </si>
  <si>
    <t>非功能性需求工作量（单位：人天）</t>
  </si>
  <si>
    <t>调整后项目工作量（单位：人天）</t>
  </si>
  <si>
    <t>自主开发工作量（单位：人天）</t>
  </si>
  <si>
    <t>中值，由技术经理提供</t>
  </si>
  <si>
    <t>外包工作量（单位：人天）</t>
  </si>
  <si>
    <t>人月基准单价（单位：万元/人月）</t>
  </si>
  <si>
    <t>天津银行人月单价，不包含直接非人力成本</t>
  </si>
  <si>
    <t>项目费用基准报价（单位：万元）</t>
  </si>
  <si>
    <t>下限，不包含直接非人力成本</t>
  </si>
  <si>
    <t>中值，不包含直接非人力成本</t>
  </si>
  <si>
    <t>上限，不包含直接非人力成本</t>
  </si>
  <si>
    <t>外包费用基准报价（单位：万元）</t>
  </si>
  <si>
    <t>本模板通常只填写白色区域；</t>
  </si>
  <si>
    <t>填写顺序为：填写项目特征-&gt;规模估算-&gt;查看结果（“开发工作量估算”相关部分）</t>
  </si>
  <si>
    <t>深灰</t>
  </si>
  <si>
    <t>模板固定部分，不得修改</t>
  </si>
  <si>
    <t>重用程度调整系数</t>
  </si>
  <si>
    <t>浅灰</t>
  </si>
  <si>
    <t>模板固定部分，在必要时统一修改</t>
  </si>
  <si>
    <t>绿色</t>
  </si>
  <si>
    <t>自动计算或引用数据，不得修改</t>
  </si>
  <si>
    <t>白色</t>
  </si>
  <si>
    <t>需填写或修改内容</t>
  </si>
  <si>
    <t>修改类型调整系数</t>
  </si>
  <si>
    <t>描述</t>
  </si>
  <si>
    <t>办公自动化系统、日常管理及业务处理用软件等</t>
  </si>
  <si>
    <t>应用集成</t>
  </si>
  <si>
    <t>企业服务总线、应用集成等</t>
  </si>
  <si>
    <t>删除</t>
  </si>
  <si>
    <t>科技</t>
  </si>
  <si>
    <t>科学计算、仿真、基于复杂算法的统计分析等</t>
  </si>
  <si>
    <t>多媒体</t>
  </si>
  <si>
    <t>多媒体数据处理；地理信息系统；教育和娱乐应用等</t>
  </si>
  <si>
    <t>预估功能点</t>
  </si>
  <si>
    <t>智能信息</t>
  </si>
  <si>
    <t>自然语言处理、人工智能、专家系统等</t>
  </si>
  <si>
    <t>系统软件</t>
  </si>
  <si>
    <t>操作系统、数据库系统、集成开发环境、自动化开发/设计工具等</t>
  </si>
  <si>
    <t>EIF</t>
  </si>
  <si>
    <t>通信控制</t>
  </si>
  <si>
    <t>通信协议、仿真、交换机软件、全球定位系统等</t>
  </si>
  <si>
    <t>流程控制</t>
  </si>
  <si>
    <t>生产管理、仪器控制、机器人控制、实时控制、嵌入式软件等</t>
  </si>
  <si>
    <t>判断标准</t>
  </si>
  <si>
    <t>没有明示对分布式处理的需求事项</t>
  </si>
  <si>
    <t>通过特别的设计保证在多个服务器及处理器上同时相互执行应用中的处理功能</t>
  </si>
  <si>
    <t>没有明示对性能的特别需求事项或仅需提供基本性能</t>
  </si>
  <si>
    <t>为满足性能需求事项，要求设计阶段开始进行性能分析，或在设计、开发阶段使用分析工具</t>
  </si>
  <si>
    <t>没有明示对可靠性的特别需求事项或仅需提供基本的可靠性</t>
  </si>
  <si>
    <t>发生故障时造成重大经济损失或有生命危害</t>
  </si>
  <si>
    <t>在相同的硬件或软件环境下运行</t>
  </si>
  <si>
    <t>在设计阶段需要考虑不同站点的不同硬件或软件环境下运行需求</t>
  </si>
  <si>
    <t>C及其他同级别语言/平台</t>
  </si>
  <si>
    <t>PowerBuilder、ASP及其他同级别语言/平台</t>
  </si>
  <si>
    <t>为其他行业开发过类似的软件，或为本行业开发过不同但相关的软件</t>
  </si>
  <si>
    <t>没有同类软件及本行业相关软件开发背景</t>
  </si>
  <si>
    <t>完整性级别为A/B同时为达成完整性级别要求采取了特殊的设计及实现方式</t>
  </si>
  <si>
    <t>完整性级别为A同时为达成完整性级别要求在软件开发全生命周期均采取了特定、明确的措施</t>
  </si>
  <si>
    <t>规模变更调整因子</t>
  </si>
  <si>
    <t>估算早期</t>
  </si>
  <si>
    <t>估算晚期</t>
  </si>
  <si>
    <t>项目交付后及运维阶段</t>
  </si>
  <si>
    <t>票据标识批量导入</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</si>
</sst>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0.00_ "/>
    <numFmt numFmtId="177" formatCode="0.0_ "/>
    <numFmt numFmtId="178" formatCode="0_ "/>
    <numFmt numFmtId="179" formatCode="0.0_);[Red]\(0.0\)"/>
  </numFmts>
  <fonts count="18" x14ac:knownFonts="1">
    <font>
      <sz val="11"/>
      <color theme="1"/>
      <name val="等线"/>
      <charset val="134"/>
      <scheme val="minor"/>
    </font>
    <font>
      <sz val="11"/>
      <color theme="1"/>
      <name val="宋体"/>
      <charset val="134"/>
    </font>
    <font>
      <b/>
      <sz val="11"/>
      <color theme="1"/>
      <name val="宋体"/>
      <charset val="134"/>
    </font>
    <font>
      <sz val="11"/>
      <name val="宋体"/>
      <charset val="134"/>
    </font>
    <font>
      <b/>
      <sz val="11"/>
      <color indexed="8"/>
      <name val="宋体"/>
      <charset val="134"/>
    </font>
    <font>
      <b/>
      <sz val="11"/>
      <color rgb="FFFF0000"/>
      <name val="宋体"/>
      <charset val="134"/>
    </font>
    <font>
      <b/>
      <sz val="11"/>
      <name val="宋体"/>
      <charset val="134"/>
    </font>
    <font>
      <sz val="11"/>
      <color rgb="FF000000"/>
      <name val="等线"/>
      <charset val="134"/>
      <scheme val="minor"/>
    </font>
    <font>
      <sz val="11"/>
      <color indexed="8"/>
      <name val="宋体"/>
      <charset val="134"/>
    </font>
    <font>
      <sz val="11"/>
      <color indexed="10"/>
      <name val="宋体"/>
      <charset val="134"/>
    </font>
    <font>
      <b/>
      <sz val="10.5"/>
      <color indexed="8"/>
      <name val="宋体"/>
      <charset val="134"/>
    </font>
    <font>
      <sz val="10.5"/>
      <name val="宋体"/>
      <charset val="134"/>
    </font>
    <font>
      <sz val="10.5"/>
      <color theme="1"/>
      <name val="宋体"/>
      <charset val="134"/>
    </font>
    <font>
      <sz val="12"/>
      <name val="宋体"/>
      <charset val="134"/>
    </font>
    <font>
      <sz val="11"/>
      <color theme="1"/>
      <name val="等线"/>
      <charset val="134"/>
      <scheme val="minor"/>
    </font>
    <font>
      <sz val="9"/>
      <name val="宋体"/>
      <charset val="134"/>
    </font>
    <font>
      <sz val="9"/>
      <name val="等线"/>
      <family val="3"/>
      <charset val="134"/>
      <scheme val="minor"/>
    </font>
    <font>
      <sz val="10.5"/>
      <name val="宋体"/>
      <family val="3"/>
      <charset val="134"/>
    </font>
  </fonts>
  <fills count="11">
    <fill>
      <patternFill patternType="none"/>
    </fill>
    <fill>
      <patternFill patternType="gray125"/>
    </fill>
    <fill>
      <patternFill patternType="solid">
        <fgColor theme="0" tint="-0.34998626667073579"/>
        <bgColor indexed="64"/>
      </patternFill>
    </fill>
    <fill>
      <patternFill patternType="solid">
        <fgColor rgb="FFA6A6A6"/>
        <bgColor indexed="64"/>
      </patternFill>
    </fill>
    <fill>
      <patternFill patternType="solid">
        <fgColor theme="0" tint="-0.1498458815271462"/>
        <bgColor indexed="64"/>
      </patternFill>
    </fill>
    <fill>
      <patternFill patternType="solid">
        <fgColor rgb="FFC4D79B"/>
        <bgColor indexed="64"/>
      </patternFill>
    </fill>
    <fill>
      <patternFill patternType="solid">
        <fgColor theme="0" tint="-0.1498764000366222"/>
        <bgColor indexed="64"/>
      </patternFill>
    </fill>
    <fill>
      <patternFill patternType="solid">
        <fgColor theme="0"/>
        <bgColor indexed="64"/>
      </patternFill>
    </fill>
    <fill>
      <patternFill patternType="darkGray">
        <bgColor theme="0" tint="-0.1498458815271462"/>
      </patternFill>
    </fill>
    <fill>
      <patternFill patternType="solid">
        <fgColor theme="6" tint="0.39982299264503923"/>
        <bgColor indexed="64"/>
      </patternFill>
    </fill>
    <fill>
      <patternFill patternType="gray125"/>
    </fill>
  </fills>
  <borders count="14">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s>
  <cellStyleXfs count="5">
    <xf numFmtId="0" fontId="0" fillId="0" borderId="0"/>
    <xf numFmtId="0" fontId="13" fillId="0" borderId="0">
      <alignment vertical="center"/>
    </xf>
    <xf numFmtId="0" fontId="8" fillId="0" borderId="0">
      <alignment vertical="center"/>
    </xf>
    <xf numFmtId="0" fontId="14" fillId="0" borderId="0">
      <alignment vertical="center"/>
    </xf>
    <xf numFmtId="43" fontId="8" fillId="0" borderId="0" applyFont="0" applyFill="0" applyBorder="0" applyAlignment="0" applyProtection="0">
      <alignment vertical="center"/>
    </xf>
  </cellStyleXfs>
  <cellXfs count="112">
    <xf numFmtId="0" fontId="0" fillId="0" borderId="0" xfId="0"/>
    <xf numFmtId="0" fontId="1" fillId="0" borderId="0" xfId="0" applyFont="1" applyAlignment="1">
      <alignment vertical="center"/>
    </xf>
    <xf numFmtId="0" fontId="1" fillId="2" borderId="0" xfId="0" applyFont="1" applyFill="1" applyAlignment="1">
      <alignment horizontal="center" vertical="center"/>
    </xf>
    <xf numFmtId="0" fontId="1" fillId="4" borderId="0" xfId="0" applyFont="1" applyFill="1" applyAlignment="1">
      <alignment horizontal="center" vertical="center"/>
    </xf>
    <xf numFmtId="0" fontId="1" fillId="4" borderId="3" xfId="3" applyFont="1" applyFill="1" applyBorder="1" applyAlignment="1">
      <alignment horizontal="center" vertical="center"/>
    </xf>
    <xf numFmtId="176" fontId="1" fillId="4" borderId="3" xfId="3" applyNumberFormat="1" applyFont="1" applyFill="1" applyBorder="1" applyAlignment="1">
      <alignment horizontal="center" vertical="center"/>
    </xf>
    <xf numFmtId="0" fontId="1" fillId="0" borderId="0" xfId="0" applyFont="1" applyAlignment="1">
      <alignment horizontal="center" vertical="center"/>
    </xf>
    <xf numFmtId="176" fontId="1" fillId="0" borderId="0" xfId="0" applyNumberFormat="1" applyFont="1" applyAlignment="1">
      <alignment horizontal="center" vertical="center"/>
    </xf>
    <xf numFmtId="0" fontId="3" fillId="5" borderId="3" xfId="0" applyFont="1" applyFill="1" applyBorder="1" applyAlignment="1">
      <alignment horizontal="center" vertical="center" wrapText="1"/>
    </xf>
    <xf numFmtId="0" fontId="1" fillId="0" borderId="3" xfId="0" applyFont="1" applyBorder="1" applyAlignment="1">
      <alignment vertical="center"/>
    </xf>
    <xf numFmtId="0" fontId="2" fillId="3" borderId="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3" xfId="0" applyFont="1" applyFill="1" applyBorder="1" applyAlignment="1">
      <alignment horizontal="justify" vertical="center" wrapText="1"/>
    </xf>
    <xf numFmtId="10" fontId="1" fillId="6" borderId="3" xfId="0" applyNumberFormat="1" applyFont="1" applyFill="1" applyBorder="1" applyAlignment="1">
      <alignment horizontal="justify" vertical="center" wrapText="1"/>
    </xf>
    <xf numFmtId="0" fontId="1" fillId="6" borderId="3" xfId="0" applyFont="1" applyFill="1" applyBorder="1" applyAlignment="1">
      <alignment horizontal="left" vertical="center" wrapText="1"/>
    </xf>
    <xf numFmtId="0" fontId="1" fillId="6" borderId="3" xfId="0" applyFont="1" applyFill="1" applyBorder="1" applyAlignment="1">
      <alignment horizontal="center" vertical="center"/>
    </xf>
    <xf numFmtId="177" fontId="1" fillId="6" borderId="3" xfId="0" applyNumberFormat="1" applyFont="1" applyFill="1" applyBorder="1" applyAlignment="1">
      <alignment horizontal="center" vertical="center" wrapText="1"/>
    </xf>
    <xf numFmtId="176" fontId="1" fillId="6" borderId="3" xfId="0" applyNumberFormat="1" applyFont="1" applyFill="1" applyBorder="1" applyAlignment="1">
      <alignment horizontal="center" vertical="center"/>
    </xf>
    <xf numFmtId="0" fontId="0" fillId="0" borderId="0" xfId="0" applyAlignment="1">
      <alignment vertical="center"/>
    </xf>
    <xf numFmtId="0" fontId="0" fillId="0" borderId="0" xfId="0" applyAlignment="1">
      <alignment vertical="center" wrapText="1"/>
    </xf>
    <xf numFmtId="0" fontId="1" fillId="2" borderId="2" xfId="0" applyFont="1" applyFill="1" applyBorder="1" applyAlignment="1">
      <alignment horizontal="center" vertical="center"/>
    </xf>
    <xf numFmtId="176" fontId="1" fillId="5" borderId="3" xfId="0" applyNumberFormat="1" applyFont="1" applyFill="1" applyBorder="1" applyAlignment="1">
      <alignment vertical="center"/>
    </xf>
    <xf numFmtId="176" fontId="1" fillId="4" borderId="3" xfId="0" applyNumberFormat="1" applyFont="1" applyFill="1" applyBorder="1" applyAlignment="1">
      <alignment vertical="center"/>
    </xf>
    <xf numFmtId="176" fontId="1" fillId="5" borderId="3" xfId="0" applyNumberFormat="1" applyFont="1" applyFill="1" applyBorder="1" applyAlignment="1">
      <alignment horizontal="right" vertical="center"/>
    </xf>
    <xf numFmtId="0" fontId="1" fillId="7" borderId="3" xfId="0" applyFont="1" applyFill="1" applyBorder="1" applyAlignment="1">
      <alignment vertical="center" wrapText="1"/>
    </xf>
    <xf numFmtId="176" fontId="1" fillId="8" borderId="3" xfId="0" applyNumberFormat="1" applyFont="1" applyFill="1" applyBorder="1" applyAlignment="1">
      <alignment vertical="center"/>
    </xf>
    <xf numFmtId="176" fontId="5" fillId="6" borderId="3" xfId="0" applyNumberFormat="1" applyFont="1" applyFill="1" applyBorder="1" applyAlignment="1">
      <alignment vertical="center"/>
    </xf>
    <xf numFmtId="176" fontId="5" fillId="4" borderId="3" xfId="0" applyNumberFormat="1" applyFont="1" applyFill="1" applyBorder="1" applyAlignment="1">
      <alignment vertical="center"/>
    </xf>
    <xf numFmtId="176" fontId="5" fillId="6" borderId="3" xfId="0" applyNumberFormat="1" applyFont="1" applyFill="1" applyBorder="1" applyAlignment="1">
      <alignment horizontal="right" vertical="center"/>
    </xf>
    <xf numFmtId="0" fontId="1" fillId="4" borderId="3" xfId="0" applyFont="1" applyFill="1" applyBorder="1" applyAlignment="1">
      <alignment vertical="center" wrapText="1"/>
    </xf>
    <xf numFmtId="0" fontId="1" fillId="2" borderId="8" xfId="0" applyFont="1" applyFill="1" applyBorder="1" applyAlignment="1">
      <alignment horizontal="center" vertical="center"/>
    </xf>
    <xf numFmtId="176" fontId="1" fillId="4" borderId="3" xfId="0" applyNumberFormat="1" applyFont="1" applyFill="1" applyBorder="1" applyAlignment="1">
      <alignment horizontal="right" vertical="center"/>
    </xf>
    <xf numFmtId="176" fontId="1" fillId="6" borderId="3" xfId="0" applyNumberFormat="1" applyFont="1" applyFill="1" applyBorder="1" applyAlignment="1">
      <alignment vertical="center"/>
    </xf>
    <xf numFmtId="176" fontId="1" fillId="6" borderId="3" xfId="0" applyNumberFormat="1" applyFont="1" applyFill="1" applyBorder="1" applyAlignment="1">
      <alignment horizontal="right" vertical="center"/>
    </xf>
    <xf numFmtId="176" fontId="3" fillId="6" borderId="3" xfId="0" applyNumberFormat="1" applyFont="1" applyFill="1" applyBorder="1" applyAlignment="1">
      <alignment vertical="center"/>
    </xf>
    <xf numFmtId="176" fontId="3" fillId="6" borderId="3" xfId="0" applyNumberFormat="1" applyFont="1" applyFill="1" applyBorder="1" applyAlignment="1">
      <alignment horizontal="right" vertical="center"/>
    </xf>
    <xf numFmtId="176" fontId="5" fillId="4" borderId="3" xfId="0" applyNumberFormat="1" applyFont="1" applyFill="1" applyBorder="1" applyAlignment="1">
      <alignment horizontal="right" vertical="center"/>
    </xf>
    <xf numFmtId="0" fontId="6" fillId="6" borderId="3" xfId="1" applyFont="1" applyFill="1" applyBorder="1" applyAlignment="1">
      <alignment horizontal="center" vertical="center"/>
    </xf>
    <xf numFmtId="0" fontId="3" fillId="0" borderId="3" xfId="1" applyFont="1" applyBorder="1" applyAlignment="1">
      <alignment horizontal="center" vertical="center"/>
    </xf>
    <xf numFmtId="176" fontId="7" fillId="0" borderId="0" xfId="0" applyNumberFormat="1" applyFont="1" applyAlignment="1">
      <alignment vertical="center"/>
    </xf>
    <xf numFmtId="0" fontId="8"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left" vertical="center"/>
    </xf>
    <xf numFmtId="0" fontId="8" fillId="0" borderId="4" xfId="0" applyFont="1" applyBorder="1" applyAlignment="1">
      <alignment horizontal="center" vertical="center"/>
    </xf>
    <xf numFmtId="0" fontId="4" fillId="9" borderId="3" xfId="0" applyFont="1" applyFill="1" applyBorder="1" applyAlignment="1">
      <alignment horizontal="center" vertical="center" wrapText="1"/>
    </xf>
    <xf numFmtId="178" fontId="4" fillId="9" borderId="3" xfId="0" applyNumberFormat="1"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1" fillId="0" borderId="3" xfId="0" applyFont="1" applyBorder="1" applyAlignment="1">
      <alignment horizontal="center" vertical="center" wrapText="1"/>
    </xf>
    <xf numFmtId="0" fontId="11" fillId="0" borderId="3" xfId="0" applyFont="1" applyBorder="1" applyAlignment="1">
      <alignment horizontal="left" vertical="center" wrapText="1"/>
    </xf>
    <xf numFmtId="0" fontId="12" fillId="0" borderId="3" xfId="0" applyFont="1" applyBorder="1" applyAlignment="1">
      <alignment horizontal="left" vertical="center" wrapText="1"/>
    </xf>
    <xf numFmtId="0" fontId="11" fillId="5" borderId="3" xfId="0" applyFont="1" applyFill="1" applyBorder="1" applyAlignment="1">
      <alignment horizontal="center" vertical="center" wrapText="1"/>
    </xf>
    <xf numFmtId="0" fontId="12" fillId="0" borderId="3" xfId="0" applyFont="1" applyBorder="1" applyAlignment="1">
      <alignment horizontal="center" vertical="center" wrapText="1"/>
    </xf>
    <xf numFmtId="176" fontId="12" fillId="5" borderId="3" xfId="0" applyNumberFormat="1" applyFont="1" applyFill="1" applyBorder="1" applyAlignment="1">
      <alignment horizontal="center" vertical="center" wrapText="1"/>
    </xf>
    <xf numFmtId="178" fontId="12" fillId="5" borderId="3" xfId="0" applyNumberFormat="1" applyFont="1" applyFill="1" applyBorder="1" applyAlignment="1">
      <alignment horizontal="center" vertical="center" wrapText="1"/>
    </xf>
    <xf numFmtId="0" fontId="1" fillId="7" borderId="3" xfId="0" applyFont="1" applyFill="1" applyBorder="1" applyAlignment="1">
      <alignment horizontal="center" vertical="center"/>
    </xf>
    <xf numFmtId="176" fontId="1" fillId="5" borderId="3" xfId="0" applyNumberFormat="1" applyFont="1" applyFill="1" applyBorder="1" applyAlignment="1">
      <alignment horizontal="center" vertical="center"/>
    </xf>
    <xf numFmtId="177" fontId="1" fillId="5" borderId="3" xfId="0" applyNumberFormat="1" applyFont="1" applyFill="1" applyBorder="1" applyAlignment="1">
      <alignment horizontal="center" vertical="center"/>
    </xf>
    <xf numFmtId="0" fontId="1" fillId="2" borderId="3" xfId="0" applyFont="1" applyFill="1" applyBorder="1" applyAlignment="1">
      <alignment horizontal="center" vertical="center"/>
    </xf>
    <xf numFmtId="0" fontId="1" fillId="7" borderId="3" xfId="0" applyFont="1" applyFill="1" applyBorder="1" applyAlignment="1">
      <alignment horizontal="left" vertical="center" wrapText="1"/>
    </xf>
    <xf numFmtId="178" fontId="1" fillId="5" borderId="3" xfId="0" applyNumberFormat="1" applyFont="1" applyFill="1" applyBorder="1" applyAlignment="1">
      <alignment horizontal="center" vertical="center" wrapText="1"/>
    </xf>
    <xf numFmtId="0" fontId="1" fillId="7" borderId="3" xfId="0" applyFont="1" applyFill="1" applyBorder="1" applyAlignment="1">
      <alignment horizontal="left" vertical="center"/>
    </xf>
    <xf numFmtId="179" fontId="1" fillId="5" borderId="3" xfId="0" applyNumberFormat="1" applyFont="1" applyFill="1" applyBorder="1" applyAlignment="1">
      <alignment horizontal="center" vertical="center"/>
    </xf>
    <xf numFmtId="0" fontId="17" fillId="0" borderId="3" xfId="0" applyFont="1" applyBorder="1" applyAlignment="1">
      <alignment horizontal="left"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6" xfId="0" applyFont="1" applyFill="1" applyBorder="1" applyAlignment="1">
      <alignment horizontal="center" vertical="center"/>
    </xf>
    <xf numFmtId="0" fontId="8" fillId="10" borderId="1" xfId="0" applyFont="1" applyFill="1" applyBorder="1" applyAlignment="1">
      <alignment horizontal="center" vertical="center"/>
    </xf>
    <xf numFmtId="0" fontId="8" fillId="10" borderId="5" xfId="0" applyFont="1" applyFill="1" applyBorder="1" applyAlignment="1">
      <alignment horizontal="center" vertical="center"/>
    </xf>
    <xf numFmtId="0" fontId="8" fillId="10" borderId="2"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2" fillId="2" borderId="3" xfId="0" applyFont="1" applyFill="1" applyBorder="1" applyAlignment="1">
      <alignment horizontal="center" vertical="center" wrapText="1"/>
    </xf>
    <xf numFmtId="0" fontId="4" fillId="2" borderId="4" xfId="0" applyFont="1" applyFill="1" applyBorder="1" applyAlignment="1">
      <alignment horizontal="center" vertical="center"/>
    </xf>
    <xf numFmtId="0" fontId="9" fillId="2" borderId="1" xfId="0" applyFont="1" applyFill="1" applyBorder="1" applyAlignment="1">
      <alignment horizontal="left" vertical="center"/>
    </xf>
    <xf numFmtId="0" fontId="9" fillId="2" borderId="5" xfId="0" applyFont="1" applyFill="1" applyBorder="1" applyAlignment="1">
      <alignment horizontal="left" vertical="center"/>
    </xf>
    <xf numFmtId="0" fontId="9" fillId="2" borderId="3" xfId="0" applyFont="1" applyFill="1" applyBorder="1" applyAlignment="1">
      <alignment horizontal="left" vertical="center" wrapText="1"/>
    </xf>
    <xf numFmtId="0" fontId="9" fillId="2" borderId="5" xfId="0" applyFont="1" applyFill="1" applyBorder="1" applyAlignment="1">
      <alignment horizontal="left" vertical="center" wrapText="1"/>
    </xf>
    <xf numFmtId="0" fontId="1" fillId="2" borderId="5" xfId="0" applyFont="1" applyFill="1" applyBorder="1" applyAlignment="1">
      <alignment vertical="center"/>
    </xf>
    <xf numFmtId="0" fontId="1" fillId="2" borderId="2" xfId="0" applyFont="1" applyFill="1" applyBorder="1" applyAlignment="1">
      <alignment vertical="center"/>
    </xf>
    <xf numFmtId="0" fontId="4" fillId="2" borderId="3" xfId="0" applyFont="1" applyFill="1" applyBorder="1" applyAlignment="1">
      <alignment horizontal="center" vertical="center"/>
    </xf>
    <xf numFmtId="0" fontId="9" fillId="2" borderId="2" xfId="0" applyFont="1" applyFill="1" applyBorder="1" applyAlignment="1">
      <alignment horizontal="lef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3" fillId="5" borderId="4" xfId="0" applyFont="1" applyFill="1" applyBorder="1" applyAlignment="1">
      <alignment horizontal="left" vertical="center" wrapText="1"/>
    </xf>
    <xf numFmtId="0" fontId="3" fillId="5" borderId="6" xfId="0" applyFont="1" applyFill="1" applyBorder="1" applyAlignment="1">
      <alignment horizontal="left" vertical="center" wrapText="1"/>
    </xf>
    <xf numFmtId="0" fontId="0" fillId="2" borderId="3" xfId="0" applyFill="1" applyBorder="1" applyAlignment="1">
      <alignment horizontal="center" vertical="center" wrapText="1"/>
    </xf>
    <xf numFmtId="0" fontId="4" fillId="2" borderId="3"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5" xfId="0"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2" fillId="2" borderId="7" xfId="0" applyFont="1" applyFill="1" applyBorder="1" applyAlignment="1">
      <alignment horizontal="center" vertical="center"/>
    </xf>
    <xf numFmtId="0" fontId="1" fillId="2" borderId="3"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0" borderId="0" xfId="0" applyFont="1" applyAlignment="1">
      <alignment horizontal="center" vertical="center"/>
    </xf>
    <xf numFmtId="0" fontId="1" fillId="6" borderId="3" xfId="0" applyFont="1" applyFill="1" applyBorder="1" applyAlignment="1">
      <alignment horizontal="center" vertical="center" wrapText="1"/>
    </xf>
  </cellXfs>
  <cellStyles count="5">
    <cellStyle name="常规" xfId="0" builtinId="0"/>
    <cellStyle name="常规 2" xfId="1" xr:uid="{00000000-0005-0000-0000-000031000000}"/>
    <cellStyle name="常规 2 36 2" xfId="2" xr:uid="{00000000-0005-0000-0000-000032000000}"/>
    <cellStyle name="常规 3" xfId="3" xr:uid="{00000000-0005-0000-0000-000033000000}"/>
    <cellStyle name="千位分隔 2 2 2 2" xfId="4" xr:uid="{00000000-0005-0000-0000-000034000000}"/>
  </cellStyles>
  <dxfs count="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C4D79B"/>
      <color rgb="FFA6A6A6"/>
      <color rgb="FFC4D7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workbookViewId="0">
      <selection activeCell="E16" sqref="E16"/>
    </sheetView>
  </sheetViews>
  <sheetFormatPr defaultColWidth="9" defaultRowHeight="14" x14ac:dyDescent="0.3"/>
  <cols>
    <col min="1" max="2" width="10.75" style="1" customWidth="1"/>
    <col min="3" max="3" width="40.75" style="1" customWidth="1"/>
    <col min="4" max="4" width="10.75" style="6" customWidth="1"/>
    <col min="5" max="5" width="4.75" style="1" customWidth="1"/>
    <col min="6" max="16384" width="9" style="1"/>
  </cols>
  <sheetData>
    <row r="1" spans="1:4" x14ac:dyDescent="0.3">
      <c r="A1" s="65" t="s">
        <v>0</v>
      </c>
      <c r="B1" s="66"/>
      <c r="C1" s="56" t="s">
        <v>1</v>
      </c>
      <c r="D1" s="57">
        <f>IF(项目特征!C1='模板使用说明&amp;基础参数'!H51,'模板使用说明&amp;基础参数'!I51,IF(项目特征!C1='模板使用说明&amp;基础参数'!H52,'模板使用说明&amp;基础参数'!I52,IF(项目特征!C1='模板使用说明&amp;基础参数'!H53,'模板使用说明&amp;基础参数'!I53,IF(项目特征!C1='模板使用说明&amp;基础参数'!H54,'模板使用说明&amp;基础参数'!I54,1))))</f>
        <v>1.21</v>
      </c>
    </row>
    <row r="2" spans="1:4" x14ac:dyDescent="0.3">
      <c r="A2" s="65" t="s">
        <v>2</v>
      </c>
      <c r="B2" s="66"/>
      <c r="C2" s="56" t="s">
        <v>3</v>
      </c>
      <c r="D2" s="58">
        <f>IF(C2='模板使用说明&amp;基础参数'!G10,'模板使用说明&amp;基础参数'!I10,IF(C2='模板使用说明&amp;基础参数'!G11,'模板使用说明&amp;基础参数'!I11,IF(C2='模板使用说明&amp;基础参数'!G12,'模板使用说明&amp;基础参数'!I12,IF(C2='模板使用说明&amp;基础参数'!G13,'模板使用说明&amp;基础参数'!I13,IF(C2='模板使用说明&amp;基础参数'!G14,'模板使用说明&amp;基础参数'!I14,IF(C2='模板使用说明&amp;基础参数'!G15,'模板使用说明&amp;基础参数'!I15,IF(C2='模板使用说明&amp;基础参数'!G16,'模板使用说明&amp;基础参数'!I16,IF(C2='模板使用说明&amp;基础参数'!G17,'模板使用说明&amp;基础参数'!I17,1))))))))</f>
        <v>1</v>
      </c>
    </row>
    <row r="3" spans="1:4" ht="28" x14ac:dyDescent="0.3">
      <c r="A3" s="68" t="s">
        <v>4</v>
      </c>
      <c r="B3" s="59" t="s">
        <v>5</v>
      </c>
      <c r="C3" s="60" t="s">
        <v>6</v>
      </c>
      <c r="D3" s="61">
        <f>IF(C3='模板使用说明&amp;基础参数'!H20,'模板使用说明&amp;基础参数'!I20,IF(C3='模板使用说明&amp;基础参数'!H21,'模板使用说明&amp;基础参数'!I21,IF(C3='模板使用说明&amp;基础参数'!H22,'模板使用说明&amp;基础参数'!I22,0)))</f>
        <v>0</v>
      </c>
    </row>
    <row r="4" spans="1:4" ht="42" x14ac:dyDescent="0.3">
      <c r="A4" s="69"/>
      <c r="B4" s="59" t="s">
        <v>7</v>
      </c>
      <c r="C4" s="60" t="s">
        <v>8</v>
      </c>
      <c r="D4" s="61">
        <f>IF(C4='模板使用说明&amp;基础参数'!H23,'模板使用说明&amp;基础参数'!I23,IF(C4='模板使用说明&amp;基础参数'!H24,'模板使用说明&amp;基础参数'!I24,IF(C4='模板使用说明&amp;基础参数'!H25,'模板使用说明&amp;基础参数'!I25,0)))</f>
        <v>0</v>
      </c>
    </row>
    <row r="5" spans="1:4" x14ac:dyDescent="0.3">
      <c r="A5" s="69"/>
      <c r="B5" s="59" t="s">
        <v>9</v>
      </c>
      <c r="C5" s="60" t="s">
        <v>10</v>
      </c>
      <c r="D5" s="61">
        <f>IF(C5='模板使用说明&amp;基础参数'!H26,'模板使用说明&amp;基础参数'!I26,IF(C5='模板使用说明&amp;基础参数'!H27,'模板使用说明&amp;基础参数'!I27,IF(C5='模板使用说明&amp;基础参数'!H28,'模板使用说明&amp;基础参数'!I28,0)))</f>
        <v>0</v>
      </c>
    </row>
    <row r="6" spans="1:4" ht="28" x14ac:dyDescent="0.3">
      <c r="A6" s="70"/>
      <c r="B6" s="59" t="s">
        <v>11</v>
      </c>
      <c r="C6" s="60" t="s">
        <v>12</v>
      </c>
      <c r="D6" s="61">
        <f>IF(C6='模板使用说明&amp;基础参数'!H29,'模板使用说明&amp;基础参数'!I29,IF(C6='模板使用说明&amp;基础参数'!H30,'模板使用说明&amp;基础参数'!I30,IF(C6='模板使用说明&amp;基础参数'!H31,'模板使用说明&amp;基础参数'!I31,0)))</f>
        <v>0</v>
      </c>
    </row>
    <row r="7" spans="1:4" x14ac:dyDescent="0.3">
      <c r="A7" s="67" t="s">
        <v>13</v>
      </c>
      <c r="B7" s="67"/>
      <c r="C7" s="60" t="s">
        <v>14</v>
      </c>
      <c r="D7" s="58">
        <f>IF(C7='模板使用说明&amp;基础参数'!H46,'模板使用说明&amp;基础参数'!I46,IF(C7='模板使用说明&amp;基础参数'!H47,'模板使用说明&amp;基础参数'!I47,IF(C7='模板使用说明&amp;基础参数'!H48,'模板使用说明&amp;基础参数'!I48,1)))</f>
        <v>1</v>
      </c>
    </row>
    <row r="8" spans="1:4" x14ac:dyDescent="0.3">
      <c r="A8" s="67" t="s">
        <v>15</v>
      </c>
      <c r="B8" s="67"/>
      <c r="C8" s="62" t="s">
        <v>16</v>
      </c>
      <c r="D8" s="63">
        <f>IF(C8='模板使用说明&amp;基础参数'!H35,'模板使用说明&amp;基础参数'!I35,IF(C8='模板使用说明&amp;基础参数'!H36,'模板使用说明&amp;基础参数'!I36,IF(C8='模板使用说明&amp;基础参数'!H37,'模板使用说明&amp;基础参数'!I37,1)))</f>
        <v>1</v>
      </c>
    </row>
    <row r="9" spans="1:4" x14ac:dyDescent="0.3">
      <c r="A9" s="67" t="s">
        <v>17</v>
      </c>
      <c r="B9" s="67"/>
      <c r="C9" s="60" t="s">
        <v>18</v>
      </c>
      <c r="D9" s="63">
        <f>IF(C9='模板使用说明&amp;基础参数'!H41,'模板使用说明&amp;基础参数'!I41,IF(C9='模板使用说明&amp;基础参数'!H42,'模板使用说明&amp;基础参数'!I42,IF(C9='模板使用说明&amp;基础参数'!H43,'模板使用说明&amp;基础参数'!I43,1)))</f>
        <v>0.8</v>
      </c>
    </row>
  </sheetData>
  <mergeCells count="6">
    <mergeCell ref="A1:B1"/>
    <mergeCell ref="A2:B2"/>
    <mergeCell ref="A7:B7"/>
    <mergeCell ref="A8:B8"/>
    <mergeCell ref="A9:B9"/>
    <mergeCell ref="A3:A6"/>
  </mergeCells>
  <phoneticPr fontId="16" type="noConversion"/>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000-000000000000}">
          <x14:formula1>
            <xm:f>'模板使用说明&amp;基础参数'!$H$51:$H$54</xm:f>
          </x14:formula1>
          <xm:sqref>C1</xm:sqref>
        </x14:dataValidation>
        <x14:dataValidation type="list" allowBlank="1" showInputMessage="1" showErrorMessage="1" xr:uid="{00000000-0002-0000-0000-000001000000}">
          <x14:formula1>
            <xm:f>'模板使用说明&amp;基础参数'!$G$10:$G$17</xm:f>
          </x14:formula1>
          <xm:sqref>C2</xm:sqref>
        </x14:dataValidation>
        <x14:dataValidation type="list" allowBlank="1" showInputMessage="1" showErrorMessage="1" xr:uid="{00000000-0002-0000-0000-000002000000}">
          <x14:formula1>
            <xm:f>'模板使用说明&amp;基础参数'!$H$20:$H$22</xm:f>
          </x14:formula1>
          <xm:sqref>C3</xm:sqref>
        </x14:dataValidation>
        <x14:dataValidation type="list" allowBlank="1" showInputMessage="1" showErrorMessage="1" xr:uid="{00000000-0002-0000-0000-000003000000}">
          <x14:formula1>
            <xm:f>'模板使用说明&amp;基础参数'!$H$23:$H$25</xm:f>
          </x14:formula1>
          <xm:sqref>C4</xm:sqref>
        </x14:dataValidation>
        <x14:dataValidation type="list" allowBlank="1" showInputMessage="1" showErrorMessage="1" xr:uid="{00000000-0002-0000-0000-000004000000}">
          <x14:formula1>
            <xm:f>'模板使用说明&amp;基础参数'!$H$26:$H$28</xm:f>
          </x14:formula1>
          <xm:sqref>C5</xm:sqref>
        </x14:dataValidation>
        <x14:dataValidation type="list" allowBlank="1" showInputMessage="1" showErrorMessage="1" xr:uid="{00000000-0002-0000-0000-000005000000}">
          <x14:formula1>
            <xm:f>'模板使用说明&amp;基础参数'!$H$29:$H$31</xm:f>
          </x14:formula1>
          <xm:sqref>C6</xm:sqref>
        </x14:dataValidation>
        <x14:dataValidation type="list" allowBlank="1" showInputMessage="1" showErrorMessage="1" xr:uid="{00000000-0002-0000-0000-000006000000}">
          <x14:formula1>
            <xm:f>'模板使用说明&amp;基础参数'!$H$46:$H$48</xm:f>
          </x14:formula1>
          <xm:sqref>C7</xm:sqref>
        </x14:dataValidation>
        <x14:dataValidation type="list" allowBlank="1" showInputMessage="1" showErrorMessage="1" xr:uid="{00000000-0002-0000-0000-000007000000}">
          <x14:formula1>
            <xm:f>'模板使用说明&amp;基础参数'!$H$35:$H$37</xm:f>
          </x14:formula1>
          <xm:sqref>C8</xm:sqref>
        </x14:dataValidation>
        <x14:dataValidation type="list" allowBlank="1" showInputMessage="1" showErrorMessage="1" xr:uid="{00000000-0002-0000-0000-000008000000}">
          <x14:formula1>
            <xm:f>'模板使用说明&amp;基础参数'!$H$41:$H$43</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4"/>
  <sheetViews>
    <sheetView tabSelected="1" topLeftCell="H1" zoomScale="85" zoomScaleNormal="85" workbookViewId="0">
      <pane ySplit="5" topLeftCell="A6" activePane="bottomLeft" state="frozen"/>
      <selection pane="bottomLeft" activeCell="O1" sqref="O1:O1048576"/>
    </sheetView>
  </sheetViews>
  <sheetFormatPr defaultColWidth="9" defaultRowHeight="14" x14ac:dyDescent="0.3"/>
  <cols>
    <col min="1" max="1" width="5.83203125" style="40" customWidth="1"/>
    <col min="2" max="2" width="12.5" style="40" customWidth="1"/>
    <col min="3" max="3" width="13.25" style="40" customWidth="1"/>
    <col min="4" max="4" width="15.75" style="40" hidden="1" customWidth="1"/>
    <col min="5" max="5" width="12.5" style="40" hidden="1" customWidth="1"/>
    <col min="6" max="6" width="16.75" style="41" hidden="1" customWidth="1"/>
    <col min="7" max="7" width="35.58203125" style="1" customWidth="1"/>
    <col min="8" max="8" width="30.83203125" style="42" customWidth="1"/>
    <col min="9" max="9" width="5.5" style="1" customWidth="1"/>
    <col min="10" max="10" width="6.75" style="1" customWidth="1"/>
    <col min="11" max="11" width="9.33203125" style="6" customWidth="1"/>
    <col min="12" max="12" width="8.33203125" style="6" customWidth="1"/>
    <col min="13" max="13" width="8.5" style="1" customWidth="1"/>
    <col min="14" max="14" width="17.33203125" style="1" customWidth="1"/>
    <col min="15" max="16384" width="9" style="1"/>
  </cols>
  <sheetData>
    <row r="1" spans="1:14" x14ac:dyDescent="0.3">
      <c r="A1" s="77" t="s">
        <v>19</v>
      </c>
      <c r="B1" s="77"/>
      <c r="C1" s="43" t="s">
        <v>20</v>
      </c>
      <c r="D1" s="78" t="s">
        <v>21</v>
      </c>
      <c r="E1" s="79"/>
      <c r="F1" s="80"/>
      <c r="G1" s="81"/>
      <c r="H1" s="79"/>
      <c r="I1" s="79"/>
      <c r="J1" s="79"/>
      <c r="K1" s="79"/>
      <c r="L1" s="82"/>
      <c r="M1" s="82"/>
      <c r="N1" s="83"/>
    </row>
    <row r="2" spans="1:14" x14ac:dyDescent="0.3">
      <c r="A2" s="84" t="s">
        <v>22</v>
      </c>
      <c r="B2" s="84"/>
      <c r="C2" s="44">
        <f>J54</f>
        <v>234</v>
      </c>
      <c r="D2" s="78" t="s">
        <v>23</v>
      </c>
      <c r="E2" s="79"/>
      <c r="F2" s="79"/>
      <c r="G2" s="79"/>
      <c r="H2" s="79"/>
      <c r="I2" s="79"/>
      <c r="J2" s="79"/>
      <c r="K2" s="79"/>
      <c r="L2" s="79"/>
      <c r="M2" s="79"/>
      <c r="N2" s="85"/>
    </row>
    <row r="3" spans="1:14" x14ac:dyDescent="0.3">
      <c r="A3" s="84" t="s">
        <v>24</v>
      </c>
      <c r="B3" s="84"/>
      <c r="C3" s="45">
        <f>M54</f>
        <v>105.06666666666673</v>
      </c>
      <c r="D3" s="78" t="s">
        <v>23</v>
      </c>
      <c r="E3" s="79"/>
      <c r="F3" s="79"/>
      <c r="G3" s="79"/>
      <c r="H3" s="79"/>
      <c r="I3" s="79"/>
      <c r="J3" s="79"/>
      <c r="K3" s="79"/>
      <c r="L3" s="79"/>
      <c r="M3" s="79"/>
      <c r="N3" s="85"/>
    </row>
    <row r="4" spans="1:14" x14ac:dyDescent="0.3">
      <c r="A4" s="71"/>
      <c r="B4" s="72"/>
      <c r="C4" s="72"/>
      <c r="D4" s="72"/>
      <c r="E4" s="72"/>
      <c r="F4" s="72"/>
      <c r="G4" s="72"/>
      <c r="H4" s="72"/>
      <c r="I4" s="72"/>
      <c r="J4" s="72"/>
      <c r="K4" s="72"/>
      <c r="L4" s="72"/>
      <c r="M4" s="72"/>
      <c r="N4" s="73"/>
    </row>
    <row r="5" spans="1:14" x14ac:dyDescent="0.3">
      <c r="A5" s="46" t="s">
        <v>25</v>
      </c>
      <c r="B5" s="46" t="s">
        <v>26</v>
      </c>
      <c r="C5" s="46" t="s">
        <v>27</v>
      </c>
      <c r="D5" s="46" t="s">
        <v>28</v>
      </c>
      <c r="E5" s="47" t="s">
        <v>29</v>
      </c>
      <c r="F5" s="46" t="s">
        <v>30</v>
      </c>
      <c r="G5" s="48" t="s">
        <v>31</v>
      </c>
      <c r="H5" s="48" t="s">
        <v>32</v>
      </c>
      <c r="I5" s="46" t="s">
        <v>33</v>
      </c>
      <c r="J5" s="46" t="s">
        <v>34</v>
      </c>
      <c r="K5" s="46" t="s">
        <v>35</v>
      </c>
      <c r="L5" s="46" t="s">
        <v>36</v>
      </c>
      <c r="M5" s="46" t="s">
        <v>37</v>
      </c>
      <c r="N5" s="46" t="s">
        <v>38</v>
      </c>
    </row>
    <row r="6" spans="1:14" ht="54" x14ac:dyDescent="0.3">
      <c r="A6" s="49">
        <f>ROW()-5</f>
        <v>1</v>
      </c>
      <c r="B6" s="50" t="s">
        <v>39</v>
      </c>
      <c r="C6" s="50" t="s">
        <v>40</v>
      </c>
      <c r="D6" s="50"/>
      <c r="E6" s="50"/>
      <c r="F6" s="50"/>
      <c r="G6" s="51" t="s">
        <v>41</v>
      </c>
      <c r="H6" s="50" t="s">
        <v>42</v>
      </c>
      <c r="I6" s="49" t="s">
        <v>43</v>
      </c>
      <c r="J6" s="52">
        <f>IF(I6="ILF",IF($C$1="预估功能点",'模板使用说明&amp;基础参数'!$E$15,'模板使用说明&amp;基础参数'!$E$22),IF(I6="EIF",IF($C$1="预估功能点",'模板使用说明&amp;基础参数'!$E$16,'模板使用说明&amp;基础参数'!$E$23),IF(I6="EI",IF($C$1="预估功能点",'模板使用说明&amp;基础参数'!$E$17,'模板使用说明&amp;基础参数'!$E$24),IF(I6="EO",IF($C$1="预估功能点",'模板使用说明&amp;基础参数'!$E$18,'模板使用说明&amp;基础参数'!$E$25),IF(I6="EQ",IF($C$1="预估功能点",'模板使用说明&amp;基础参数'!$E$19,'模板使用说明&amp;基础参数'!$E$26),"")))))</f>
        <v>4</v>
      </c>
      <c r="K6" s="53" t="s">
        <v>44</v>
      </c>
      <c r="L6" s="53" t="s">
        <v>45</v>
      </c>
      <c r="M6" s="54">
        <f>IF(J6="","",IF(K6="高",IF(L6="删除",J6*'模板使用说明&amp;基础参数'!$E$5*'模板使用说明&amp;基础参数'!$E$12,IF(L6="修改",J6*'模板使用说明&amp;基础参数'!$E$5*'模板使用说明&amp;基础参数'!$E$11,J6*'模板使用说明&amp;基础参数'!$E$5*'模板使用说明&amp;基础参数'!$E$10)),IF(K6="中",IF(L6="删除",J6*'模板使用说明&amp;基础参数'!$E$6*'模板使用说明&amp;基础参数'!$E$12,IF(L6="修改",J6*'模板使用说明&amp;基础参数'!$E$6*'模板使用说明&amp;基础参数'!$E$11,J6*'模板使用说明&amp;基础参数'!$E$6*'模板使用说明&amp;基础参数'!$E$10)),IF(L6="删除",J6*'模板使用说明&amp;基础参数'!$E$7*'模板使用说明&amp;基础参数'!$E$12,IF(L6="修改",J6*'模板使用说明&amp;基础参数'!$E$7*'模板使用说明&amp;基础参数'!$E$11,J6*'模板使用说明&amp;基础参数'!$E$7*'模板使用说明&amp;基础参数'!$E$10)))))</f>
        <v>2.6666666666666679</v>
      </c>
      <c r="N6" s="51"/>
    </row>
    <row r="7" spans="1:14" x14ac:dyDescent="0.3">
      <c r="A7" s="49">
        <f>ROW()-5</f>
        <v>2</v>
      </c>
      <c r="B7" s="50"/>
      <c r="C7" s="50"/>
      <c r="D7" s="50"/>
      <c r="E7" s="50"/>
      <c r="F7" s="50"/>
      <c r="G7" s="51" t="s">
        <v>46</v>
      </c>
      <c r="H7" s="50" t="s">
        <v>47</v>
      </c>
      <c r="I7" s="49" t="s">
        <v>48</v>
      </c>
      <c r="J7" s="52">
        <f>IF(I7="ILF",IF($C$1="预估功能点",'模板使用说明&amp;基础参数'!$E$15,'模板使用说明&amp;基础参数'!$E$22),IF(I7="EIF",IF($C$1="预估功能点",'模板使用说明&amp;基础参数'!$E$16,'模板使用说明&amp;基础参数'!$E$23),IF(I7="EI",IF($C$1="预估功能点",'模板使用说明&amp;基础参数'!$E$17,'模板使用说明&amp;基础参数'!$E$24),IF(I7="EO",IF($C$1="预估功能点",'模板使用说明&amp;基础参数'!$E$18,'模板使用说明&amp;基础参数'!$E$25),IF(I7="EQ",IF($C$1="预估功能点",'模板使用说明&amp;基础参数'!$E$19,'模板使用说明&amp;基础参数'!$E$26),"")))))</f>
        <v>10</v>
      </c>
      <c r="K7" s="53" t="s">
        <v>49</v>
      </c>
      <c r="L7" s="53" t="s">
        <v>50</v>
      </c>
      <c r="M7" s="54">
        <f>IF(J7="","",IF(K7="高",IF(L7="删除",J7*'模板使用说明&amp;基础参数'!$E$5*'模板使用说明&amp;基础参数'!$E$12,IF(L7="修改",J7*'模板使用说明&amp;基础参数'!$E$5*'模板使用说明&amp;基础参数'!$E$11,J7*'模板使用说明&amp;基础参数'!$E$5*'模板使用说明&amp;基础参数'!$E$10)),IF(K7="中",IF(L7="删除",J7*'模板使用说明&amp;基础参数'!$E$6*'模板使用说明&amp;基础参数'!$E$12,IF(L7="修改",J7*'模板使用说明&amp;基础参数'!$E$6*'模板使用说明&amp;基础参数'!$E$11,J7*'模板使用说明&amp;基础参数'!$E$6*'模板使用说明&amp;基础参数'!$E$10)),IF(L7="删除",J7*'模板使用说明&amp;基础参数'!$E$7*'模板使用说明&amp;基础参数'!$E$12,IF(L7="修改",J7*'模板使用说明&amp;基础参数'!$E$7*'模板使用说明&amp;基础参数'!$E$11,J7*'模板使用说明&amp;基础参数'!$E$7*'模板使用说明&amp;基础参数'!$E$10)))))</f>
        <v>2.6666666666666643</v>
      </c>
      <c r="N7" s="51"/>
    </row>
    <row r="8" spans="1:14" ht="27" x14ac:dyDescent="0.3">
      <c r="A8" s="49">
        <f>ROW()-5</f>
        <v>3</v>
      </c>
      <c r="B8" s="50"/>
      <c r="C8" s="50"/>
      <c r="D8" s="50"/>
      <c r="E8" s="50"/>
      <c r="F8" s="50"/>
      <c r="G8" s="51" t="s">
        <v>51</v>
      </c>
      <c r="H8" s="50"/>
      <c r="I8" s="49"/>
      <c r="J8" s="52" t="str">
        <f>IF(I8="ILF",IF($C$1="预估功能点",'模板使用说明&amp;基础参数'!$E$15,'模板使用说明&amp;基础参数'!$E$22),IF(I8="EIF",IF($C$1="预估功能点",'模板使用说明&amp;基础参数'!$E$16,'模板使用说明&amp;基础参数'!$E$23),IF(I8="EI",IF($C$1="预估功能点",'模板使用说明&amp;基础参数'!$E$17,'模板使用说明&amp;基础参数'!$E$24),IF(I8="EO",IF($C$1="预估功能点",'模板使用说明&amp;基础参数'!$E$18,'模板使用说明&amp;基础参数'!$E$25),IF(I8="EQ",IF($C$1="预估功能点",'模板使用说明&amp;基础参数'!$E$19,'模板使用说明&amp;基础参数'!$E$26),"")))))</f>
        <v/>
      </c>
      <c r="K8" s="53"/>
      <c r="L8" s="53"/>
      <c r="M8" s="54" t="str">
        <f>IF(J8="","",IF(K8="高",IF(L8="删除",J8*'模板使用说明&amp;基础参数'!$E$5*'模板使用说明&amp;基础参数'!$E$12,IF(L8="修改",J8*'模板使用说明&amp;基础参数'!$E$5*'模板使用说明&amp;基础参数'!$E$11,J8*'模板使用说明&amp;基础参数'!$E$5*'模板使用说明&amp;基础参数'!$E$10)),IF(K8="中",IF(L8="删除",J8*'模板使用说明&amp;基础参数'!$E$6*'模板使用说明&amp;基础参数'!$E$12,IF(L8="修改",J8*'模板使用说明&amp;基础参数'!$E$6*'模板使用说明&amp;基础参数'!$E$11,J8*'模板使用说明&amp;基础参数'!$E$6*'模板使用说明&amp;基础参数'!$E$10)),IF(L8="删除",J8*'模板使用说明&amp;基础参数'!$E$7*'模板使用说明&amp;基础参数'!$E$12,IF(L8="修改",J8*'模板使用说明&amp;基础参数'!$E$7*'模板使用说明&amp;基础参数'!$E$11,J8*'模板使用说明&amp;基础参数'!$E$7*'模板使用说明&amp;基础参数'!$E$10)))))</f>
        <v/>
      </c>
      <c r="N8" s="51" t="s">
        <v>52</v>
      </c>
    </row>
    <row r="9" spans="1:14" ht="67.5" x14ac:dyDescent="0.3">
      <c r="A9" s="49">
        <f>ROW()-5</f>
        <v>4</v>
      </c>
      <c r="B9" s="50"/>
      <c r="C9" s="50" t="s">
        <v>53</v>
      </c>
      <c r="D9" s="50"/>
      <c r="E9" s="50"/>
      <c r="F9" s="50"/>
      <c r="G9" s="50" t="s">
        <v>54</v>
      </c>
      <c r="H9" s="50" t="s">
        <v>55</v>
      </c>
      <c r="I9" s="49" t="s">
        <v>56</v>
      </c>
      <c r="J9" s="52">
        <f>IF(I9="ILF",IF($C$1="预估功能点",'模板使用说明&amp;基础参数'!$E$15,'模板使用说明&amp;基础参数'!$E$22),IF(I9="EIF",IF($C$1="预估功能点",'模板使用说明&amp;基础参数'!$E$16,'模板使用说明&amp;基础参数'!$E$23),IF(I9="EI",IF($C$1="预估功能点",'模板使用说明&amp;基础参数'!$E$17,'模板使用说明&amp;基础参数'!$E$24),IF(I9="EO",IF($C$1="预估功能点",'模板使用说明&amp;基础参数'!$E$18,'模板使用说明&amp;基础参数'!$E$25),IF(I9="EQ",IF($C$1="预估功能点",'模板使用说明&amp;基础参数'!$E$19,'模板使用说明&amp;基础参数'!$E$26),"")))))</f>
        <v>4</v>
      </c>
      <c r="K9" s="53" t="s">
        <v>44</v>
      </c>
      <c r="L9" s="53" t="s">
        <v>45</v>
      </c>
      <c r="M9" s="54">
        <f>IF(J9="","",IF(K9="高",IF(L9="删除",J9*'模板使用说明&amp;基础参数'!$E$5*'模板使用说明&amp;基础参数'!$E$12,IF(L9="修改",J9*'模板使用说明&amp;基础参数'!$E$5*'模板使用说明&amp;基础参数'!$E$11,J9*'模板使用说明&amp;基础参数'!$E$5*'模板使用说明&amp;基础参数'!$E$10)),IF(K9="中",IF(L9="删除",J9*'模板使用说明&amp;基础参数'!$E$6*'模板使用说明&amp;基础参数'!$E$12,IF(L9="修改",J9*'模板使用说明&amp;基础参数'!$E$6*'模板使用说明&amp;基础参数'!$E$11,J9*'模板使用说明&amp;基础参数'!$E$6*'模板使用说明&amp;基础参数'!$E$10)),IF(L9="删除",J9*'模板使用说明&amp;基础参数'!$E$7*'模板使用说明&amp;基础参数'!$E$12,IF(L9="修改",J9*'模板使用说明&amp;基础参数'!$E$7*'模板使用说明&amp;基础参数'!$E$11,J9*'模板使用说明&amp;基础参数'!$E$7*'模板使用说明&amp;基础参数'!$E$10)))))</f>
        <v>2.6666666666666679</v>
      </c>
      <c r="N9" s="51"/>
    </row>
    <row r="10" spans="1:14" ht="67.5" x14ac:dyDescent="0.3">
      <c r="A10" s="49">
        <f t="shared" ref="A10:A43" si="0">ROW()-5</f>
        <v>5</v>
      </c>
      <c r="B10" s="50"/>
      <c r="C10" s="50" t="s">
        <v>57</v>
      </c>
      <c r="D10" s="50"/>
      <c r="E10" s="50"/>
      <c r="F10" s="50"/>
      <c r="G10" s="50" t="s">
        <v>58</v>
      </c>
      <c r="H10" s="50" t="s">
        <v>59</v>
      </c>
      <c r="I10" s="49" t="s">
        <v>56</v>
      </c>
      <c r="J10" s="52">
        <f>IF(I10="ILF",IF($C$1="预估功能点",'模板使用说明&amp;基础参数'!$E$15,'模板使用说明&amp;基础参数'!$E$22),IF(I10="EIF",IF($C$1="预估功能点",'模板使用说明&amp;基础参数'!$E$16,'模板使用说明&amp;基础参数'!$E$23),IF(I10="EI",IF($C$1="预估功能点",'模板使用说明&amp;基础参数'!$E$17,'模板使用说明&amp;基础参数'!$E$24),IF(I10="EO",IF($C$1="预估功能点",'模板使用说明&amp;基础参数'!$E$18,'模板使用说明&amp;基础参数'!$E$25),IF(I10="EQ",IF($C$1="预估功能点",'模板使用说明&amp;基础参数'!$E$19,'模板使用说明&amp;基础参数'!$E$26),"")))))</f>
        <v>4</v>
      </c>
      <c r="K10" s="53" t="s">
        <v>44</v>
      </c>
      <c r="L10" s="53" t="s">
        <v>45</v>
      </c>
      <c r="M10" s="54">
        <f>IF(J10="","",IF(K10="高",IF(L10="删除",J10*'模板使用说明&amp;基础参数'!$E$5*'模板使用说明&amp;基础参数'!$E$12,IF(L10="修改",J10*'模板使用说明&amp;基础参数'!$E$5*'模板使用说明&amp;基础参数'!$E$11,J10*'模板使用说明&amp;基础参数'!$E$5*'模板使用说明&amp;基础参数'!$E$10)),IF(K10="中",IF(L10="删除",J10*'模板使用说明&amp;基础参数'!$E$6*'模板使用说明&amp;基础参数'!$E$12,IF(L10="修改",J10*'模板使用说明&amp;基础参数'!$E$6*'模板使用说明&amp;基础参数'!$E$11,J10*'模板使用说明&amp;基础参数'!$E$6*'模板使用说明&amp;基础参数'!$E$10)),IF(L10="删除",J10*'模板使用说明&amp;基础参数'!$E$7*'模板使用说明&amp;基础参数'!$E$12,IF(L10="修改",J10*'模板使用说明&amp;基础参数'!$E$7*'模板使用说明&amp;基础参数'!$E$11,J10*'模板使用说明&amp;基础参数'!$E$7*'模板使用说明&amp;基础参数'!$E$10)))))</f>
        <v>2.6666666666666679</v>
      </c>
      <c r="N10" s="51"/>
    </row>
    <row r="11" spans="1:14" ht="81" x14ac:dyDescent="0.3">
      <c r="A11" s="49">
        <f t="shared" si="0"/>
        <v>6</v>
      </c>
      <c r="B11" s="50"/>
      <c r="C11" s="50" t="s">
        <v>60</v>
      </c>
      <c r="D11" s="50"/>
      <c r="E11" s="50"/>
      <c r="F11" s="50"/>
      <c r="G11" s="50" t="s">
        <v>61</v>
      </c>
      <c r="H11" s="50" t="s">
        <v>62</v>
      </c>
      <c r="I11" s="49" t="s">
        <v>43</v>
      </c>
      <c r="J11" s="52">
        <f>IF(I11="ILF",IF($C$1="预估功能点",'模板使用说明&amp;基础参数'!$E$15,'模板使用说明&amp;基础参数'!$E$22),IF(I11="EIF",IF($C$1="预估功能点",'模板使用说明&amp;基础参数'!$E$16,'模板使用说明&amp;基础参数'!$E$23),IF(I11="EI",IF($C$1="预估功能点",'模板使用说明&amp;基础参数'!$E$17,'模板使用说明&amp;基础参数'!$E$24),IF(I11="EO",IF($C$1="预估功能点",'模板使用说明&amp;基础参数'!$E$18,'模板使用说明&amp;基础参数'!$E$25),IF(I11="EQ",IF($C$1="预估功能点",'模板使用说明&amp;基础参数'!$E$19,'模板使用说明&amp;基础参数'!$E$26),"")))))</f>
        <v>4</v>
      </c>
      <c r="K11" s="53" t="s">
        <v>44</v>
      </c>
      <c r="L11" s="53" t="s">
        <v>45</v>
      </c>
      <c r="M11" s="54">
        <f>IF(J11="","",IF(K11="高",IF(L11="删除",J11*'模板使用说明&amp;基础参数'!$E$5*'模板使用说明&amp;基础参数'!$E$12,IF(L11="修改",J11*'模板使用说明&amp;基础参数'!$E$5*'模板使用说明&amp;基础参数'!$E$11,J11*'模板使用说明&amp;基础参数'!$E$5*'模板使用说明&amp;基础参数'!$E$10)),IF(K11="中",IF(L11="删除",J11*'模板使用说明&amp;基础参数'!$E$6*'模板使用说明&amp;基础参数'!$E$12,IF(L11="修改",J11*'模板使用说明&amp;基础参数'!$E$6*'模板使用说明&amp;基础参数'!$E$11,J11*'模板使用说明&amp;基础参数'!$E$6*'模板使用说明&amp;基础参数'!$E$10)),IF(L11="删除",J11*'模板使用说明&amp;基础参数'!$E$7*'模板使用说明&amp;基础参数'!$E$12,IF(L11="修改",J11*'模板使用说明&amp;基础参数'!$E$7*'模板使用说明&amp;基础参数'!$E$11,J11*'模板使用说明&amp;基础参数'!$E$7*'模板使用说明&amp;基础参数'!$E$10)))))</f>
        <v>2.6666666666666679</v>
      </c>
      <c r="N11" s="51"/>
    </row>
    <row r="12" spans="1:14" ht="81" x14ac:dyDescent="0.3">
      <c r="A12" s="49">
        <f t="shared" si="0"/>
        <v>7</v>
      </c>
      <c r="B12" s="50"/>
      <c r="C12" s="50" t="s">
        <v>63</v>
      </c>
      <c r="D12" s="50"/>
      <c r="E12" s="50"/>
      <c r="F12" s="50"/>
      <c r="G12" s="50" t="s">
        <v>64</v>
      </c>
      <c r="H12" s="50" t="s">
        <v>65</v>
      </c>
      <c r="I12" s="49" t="s">
        <v>43</v>
      </c>
      <c r="J12" s="52">
        <f>IF(I12="ILF",IF($C$1="预估功能点",'模板使用说明&amp;基础参数'!$E$15,'模板使用说明&amp;基础参数'!$E$22),IF(I12="EIF",IF($C$1="预估功能点",'模板使用说明&amp;基础参数'!$E$16,'模板使用说明&amp;基础参数'!$E$23),IF(I12="EI",IF($C$1="预估功能点",'模板使用说明&amp;基础参数'!$E$17,'模板使用说明&amp;基础参数'!$E$24),IF(I12="EO",IF($C$1="预估功能点",'模板使用说明&amp;基础参数'!$E$18,'模板使用说明&amp;基础参数'!$E$25),IF(I12="EQ",IF($C$1="预估功能点",'模板使用说明&amp;基础参数'!$E$19,'模板使用说明&amp;基础参数'!$E$26),"")))))</f>
        <v>4</v>
      </c>
      <c r="K12" s="53" t="s">
        <v>49</v>
      </c>
      <c r="L12" s="53" t="s">
        <v>45</v>
      </c>
      <c r="M12" s="54">
        <f>IF(J12="","",IF(K12="高",IF(L12="删除",J12*'模板使用说明&amp;基础参数'!$E$5*'模板使用说明&amp;基础参数'!$E$12,IF(L12="修改",J12*'模板使用说明&amp;基础参数'!$E$5*'模板使用说明&amp;基础参数'!$E$11,J12*'模板使用说明&amp;基础参数'!$E$5*'模板使用说明&amp;基础参数'!$E$10)),IF(K12="中",IF(L12="删除",J12*'模板使用说明&amp;基础参数'!$E$6*'模板使用说明&amp;基础参数'!$E$12,IF(L12="修改",J12*'模板使用说明&amp;基础参数'!$E$6*'模板使用说明&amp;基础参数'!$E$11,J12*'模板使用说明&amp;基础参数'!$E$6*'模板使用说明&amp;基础参数'!$E$10)),IF(L12="删除",J12*'模板使用说明&amp;基础参数'!$E$7*'模板使用说明&amp;基础参数'!$E$12,IF(L12="修改",J12*'模板使用说明&amp;基础参数'!$E$7*'模板使用说明&amp;基础参数'!$E$11,J12*'模板使用说明&amp;基础参数'!$E$7*'模板使用说明&amp;基础参数'!$E$10)))))</f>
        <v>1.3333333333333319</v>
      </c>
      <c r="N12" s="51"/>
    </row>
    <row r="13" spans="1:14" ht="40.5" x14ac:dyDescent="0.3">
      <c r="A13" s="49">
        <f t="shared" si="0"/>
        <v>8</v>
      </c>
      <c r="B13" s="50"/>
      <c r="C13" s="50" t="s">
        <v>66</v>
      </c>
      <c r="D13" s="50"/>
      <c r="E13" s="50"/>
      <c r="F13" s="50"/>
      <c r="G13" s="50" t="s">
        <v>67</v>
      </c>
      <c r="H13" s="50" t="s">
        <v>68</v>
      </c>
      <c r="I13" s="49" t="s">
        <v>56</v>
      </c>
      <c r="J13" s="52">
        <f>IF(I13="ILF",IF($C$1="预估功能点",'模板使用说明&amp;基础参数'!$E$15,'模板使用说明&amp;基础参数'!$E$22),IF(I13="EIF",IF($C$1="预估功能点",'模板使用说明&amp;基础参数'!$E$16,'模板使用说明&amp;基础参数'!$E$23),IF(I13="EI",IF($C$1="预估功能点",'模板使用说明&amp;基础参数'!$E$17,'模板使用说明&amp;基础参数'!$E$24),IF(I13="EO",IF($C$1="预估功能点",'模板使用说明&amp;基础参数'!$E$18,'模板使用说明&amp;基础参数'!$E$25),IF(I13="EQ",IF($C$1="预估功能点",'模板使用说明&amp;基础参数'!$E$19,'模板使用说明&amp;基础参数'!$E$26),"")))))</f>
        <v>4</v>
      </c>
      <c r="K13" s="53" t="s">
        <v>44</v>
      </c>
      <c r="L13" s="53" t="s">
        <v>45</v>
      </c>
      <c r="M13" s="54">
        <f>IF(J13="","",IF(K13="高",IF(L13="删除",J13*'模板使用说明&amp;基础参数'!$E$5*'模板使用说明&amp;基础参数'!$E$12,IF(L13="修改",J13*'模板使用说明&amp;基础参数'!$E$5*'模板使用说明&amp;基础参数'!$E$11,J13*'模板使用说明&amp;基础参数'!$E$5*'模板使用说明&amp;基础参数'!$E$10)),IF(K13="中",IF(L13="删除",J13*'模板使用说明&amp;基础参数'!$E$6*'模板使用说明&amp;基础参数'!$E$12,IF(L13="修改",J13*'模板使用说明&amp;基础参数'!$E$6*'模板使用说明&amp;基础参数'!$E$11,J13*'模板使用说明&amp;基础参数'!$E$6*'模板使用说明&amp;基础参数'!$E$10)),IF(L13="删除",J13*'模板使用说明&amp;基础参数'!$E$7*'模板使用说明&amp;基础参数'!$E$12,IF(L13="修改",J13*'模板使用说明&amp;基础参数'!$E$7*'模板使用说明&amp;基础参数'!$E$11,J13*'模板使用说明&amp;基础参数'!$E$7*'模板使用说明&amp;基础参数'!$E$10)))))</f>
        <v>2.6666666666666679</v>
      </c>
      <c r="N13" s="51"/>
    </row>
    <row r="14" spans="1:14" ht="54" x14ac:dyDescent="0.3">
      <c r="A14" s="49">
        <f t="shared" si="0"/>
        <v>9</v>
      </c>
      <c r="B14" s="50"/>
      <c r="C14" s="50" t="s">
        <v>69</v>
      </c>
      <c r="D14" s="50"/>
      <c r="E14" s="50"/>
      <c r="F14" s="50"/>
      <c r="G14" s="50" t="s">
        <v>70</v>
      </c>
      <c r="H14" s="64" t="s">
        <v>260</v>
      </c>
      <c r="I14" s="49" t="s">
        <v>43</v>
      </c>
      <c r="J14" s="52">
        <f>IF(I14="ILF",IF($C$1="预估功能点",'模板使用说明&amp;基础参数'!$E$15,'模板使用说明&amp;基础参数'!$E$22),IF(I14="EIF",IF($C$1="预估功能点",'模板使用说明&amp;基础参数'!$E$16,'模板使用说明&amp;基础参数'!$E$23),IF(I14="EI",IF($C$1="预估功能点",'模板使用说明&amp;基础参数'!$E$17,'模板使用说明&amp;基础参数'!$E$24),IF(I14="EO",IF($C$1="预估功能点",'模板使用说明&amp;基础参数'!$E$18,'模板使用说明&amp;基础参数'!$E$25),IF(I14="EQ",IF($C$1="预估功能点",'模板使用说明&amp;基础参数'!$E$19,'模板使用说明&amp;基础参数'!$E$26),"")))))</f>
        <v>4</v>
      </c>
      <c r="K14" s="53" t="s">
        <v>44</v>
      </c>
      <c r="L14" s="53" t="s">
        <v>45</v>
      </c>
      <c r="M14" s="54">
        <f>IF(J14="","",IF(K14="高",IF(L14="删除",J14*'模板使用说明&amp;基础参数'!$E$5*'模板使用说明&amp;基础参数'!$E$12,IF(L14="修改",J14*'模板使用说明&amp;基础参数'!$E$5*'模板使用说明&amp;基础参数'!$E$11,J14*'模板使用说明&amp;基础参数'!$E$5*'模板使用说明&amp;基础参数'!$E$10)),IF(K14="中",IF(L14="删除",J14*'模板使用说明&amp;基础参数'!$E$6*'模板使用说明&amp;基础参数'!$E$12,IF(L14="修改",J14*'模板使用说明&amp;基础参数'!$E$6*'模板使用说明&amp;基础参数'!$E$11,J14*'模板使用说明&amp;基础参数'!$E$6*'模板使用说明&amp;基础参数'!$E$10)),IF(L14="删除",J14*'模板使用说明&amp;基础参数'!$E$7*'模板使用说明&amp;基础参数'!$E$12,IF(L14="修改",J14*'模板使用说明&amp;基础参数'!$E$7*'模板使用说明&amp;基础参数'!$E$11,J14*'模板使用说明&amp;基础参数'!$E$7*'模板使用说明&amp;基础参数'!$E$10)))))</f>
        <v>2.6666666666666679</v>
      </c>
      <c r="N14" s="51"/>
    </row>
    <row r="15" spans="1:14" ht="40.5" x14ac:dyDescent="0.3">
      <c r="A15" s="49">
        <f t="shared" si="0"/>
        <v>10</v>
      </c>
      <c r="B15" s="50"/>
      <c r="C15" s="50" t="s">
        <v>71</v>
      </c>
      <c r="D15" s="50"/>
      <c r="E15" s="50"/>
      <c r="F15" s="50"/>
      <c r="G15" s="50" t="s">
        <v>72</v>
      </c>
      <c r="H15" s="50" t="s">
        <v>73</v>
      </c>
      <c r="I15" s="49" t="s">
        <v>43</v>
      </c>
      <c r="J15" s="52">
        <f>IF(I15="ILF",IF($C$1="预估功能点",'模板使用说明&amp;基础参数'!$E$15,'模板使用说明&amp;基础参数'!$E$22),IF(I15="EIF",IF($C$1="预估功能点",'模板使用说明&amp;基础参数'!$E$16,'模板使用说明&amp;基础参数'!$E$23),IF(I15="EI",IF($C$1="预估功能点",'模板使用说明&amp;基础参数'!$E$17,'模板使用说明&amp;基础参数'!$E$24),IF(I15="EO",IF($C$1="预估功能点",'模板使用说明&amp;基础参数'!$E$18,'模板使用说明&amp;基础参数'!$E$25),IF(I15="EQ",IF($C$1="预估功能点",'模板使用说明&amp;基础参数'!$E$19,'模板使用说明&amp;基础参数'!$E$26),"")))))</f>
        <v>4</v>
      </c>
      <c r="K15" s="53" t="s">
        <v>44</v>
      </c>
      <c r="L15" s="53" t="s">
        <v>45</v>
      </c>
      <c r="M15" s="54">
        <f>IF(J15="","",IF(K15="高",IF(L15="删除",J15*'模板使用说明&amp;基础参数'!$E$5*'模板使用说明&amp;基础参数'!$E$12,IF(L15="修改",J15*'模板使用说明&amp;基础参数'!$E$5*'模板使用说明&amp;基础参数'!$E$11,J15*'模板使用说明&amp;基础参数'!$E$5*'模板使用说明&amp;基础参数'!$E$10)),IF(K15="中",IF(L15="删除",J15*'模板使用说明&amp;基础参数'!$E$6*'模板使用说明&amp;基础参数'!$E$12,IF(L15="修改",J15*'模板使用说明&amp;基础参数'!$E$6*'模板使用说明&amp;基础参数'!$E$11,J15*'模板使用说明&amp;基础参数'!$E$6*'模板使用说明&amp;基础参数'!$E$10)),IF(L15="删除",J15*'模板使用说明&amp;基础参数'!$E$7*'模板使用说明&amp;基础参数'!$E$12,IF(L15="修改",J15*'模板使用说明&amp;基础参数'!$E$7*'模板使用说明&amp;基础参数'!$E$11,J15*'模板使用说明&amp;基础参数'!$E$7*'模板使用说明&amp;基础参数'!$E$10)))))</f>
        <v>2.6666666666666679</v>
      </c>
      <c r="N15" s="51"/>
    </row>
    <row r="16" spans="1:14" ht="40.5" x14ac:dyDescent="0.3">
      <c r="A16" s="49">
        <f t="shared" si="0"/>
        <v>11</v>
      </c>
      <c r="B16" s="50"/>
      <c r="C16" s="50" t="s">
        <v>74</v>
      </c>
      <c r="D16" s="50"/>
      <c r="E16" s="50"/>
      <c r="F16" s="50"/>
      <c r="G16" s="50" t="s">
        <v>75</v>
      </c>
      <c r="H16" s="50" t="s">
        <v>76</v>
      </c>
      <c r="I16" s="49" t="s">
        <v>43</v>
      </c>
      <c r="J16" s="52">
        <f>IF(I16="ILF",IF($C$1="预估功能点",'模板使用说明&amp;基础参数'!$E$15,'模板使用说明&amp;基础参数'!$E$22),IF(I16="EIF",IF($C$1="预估功能点",'模板使用说明&amp;基础参数'!$E$16,'模板使用说明&amp;基础参数'!$E$23),IF(I16="EI",IF($C$1="预估功能点",'模板使用说明&amp;基础参数'!$E$17,'模板使用说明&amp;基础参数'!$E$24),IF(I16="EO",IF($C$1="预估功能点",'模板使用说明&amp;基础参数'!$E$18,'模板使用说明&amp;基础参数'!$E$25),IF(I16="EQ",IF($C$1="预估功能点",'模板使用说明&amp;基础参数'!$E$19,'模板使用说明&amp;基础参数'!$E$26),"")))))</f>
        <v>4</v>
      </c>
      <c r="K16" s="53" t="s">
        <v>44</v>
      </c>
      <c r="L16" s="53" t="s">
        <v>45</v>
      </c>
      <c r="M16" s="54">
        <f>IF(J16="","",IF(K16="高",IF(L16="删除",J16*'模板使用说明&amp;基础参数'!$E$5*'模板使用说明&amp;基础参数'!$E$12,IF(L16="修改",J16*'模板使用说明&amp;基础参数'!$E$5*'模板使用说明&amp;基础参数'!$E$11,J16*'模板使用说明&amp;基础参数'!$E$5*'模板使用说明&amp;基础参数'!$E$10)),IF(K16="中",IF(L16="删除",J16*'模板使用说明&amp;基础参数'!$E$6*'模板使用说明&amp;基础参数'!$E$12,IF(L16="修改",J16*'模板使用说明&amp;基础参数'!$E$6*'模板使用说明&amp;基础参数'!$E$11,J16*'模板使用说明&amp;基础参数'!$E$6*'模板使用说明&amp;基础参数'!$E$10)),IF(L16="删除",J16*'模板使用说明&amp;基础参数'!$E$7*'模板使用说明&amp;基础参数'!$E$12,IF(L16="修改",J16*'模板使用说明&amp;基础参数'!$E$7*'模板使用说明&amp;基础参数'!$E$11,J16*'模板使用说明&amp;基础参数'!$E$7*'模板使用说明&amp;基础参数'!$E$10)))))</f>
        <v>2.6666666666666679</v>
      </c>
      <c r="N16" s="51"/>
    </row>
    <row r="17" spans="1:14" ht="40.5" x14ac:dyDescent="0.3">
      <c r="A17" s="49">
        <f t="shared" si="0"/>
        <v>12</v>
      </c>
      <c r="B17" s="50"/>
      <c r="C17" s="50" t="s">
        <v>77</v>
      </c>
      <c r="D17" s="50"/>
      <c r="E17" s="50"/>
      <c r="F17" s="50"/>
      <c r="G17" s="50" t="s">
        <v>78</v>
      </c>
      <c r="H17" s="50" t="s">
        <v>79</v>
      </c>
      <c r="I17" s="49" t="s">
        <v>43</v>
      </c>
      <c r="J17" s="52">
        <f>IF(I17="ILF",IF($C$1="预估功能点",'模板使用说明&amp;基础参数'!$E$15,'模板使用说明&amp;基础参数'!$E$22),IF(I17="EIF",IF($C$1="预估功能点",'模板使用说明&amp;基础参数'!$E$16,'模板使用说明&amp;基础参数'!$E$23),IF(I17="EI",IF($C$1="预估功能点",'模板使用说明&amp;基础参数'!$E$17,'模板使用说明&amp;基础参数'!$E$24),IF(I17="EO",IF($C$1="预估功能点",'模板使用说明&amp;基础参数'!$E$18,'模板使用说明&amp;基础参数'!$E$25),IF(I17="EQ",IF($C$1="预估功能点",'模板使用说明&amp;基础参数'!$E$19,'模板使用说明&amp;基础参数'!$E$26),"")))))</f>
        <v>4</v>
      </c>
      <c r="K17" s="53" t="s">
        <v>44</v>
      </c>
      <c r="L17" s="53" t="s">
        <v>45</v>
      </c>
      <c r="M17" s="54">
        <f>IF(J17="","",IF(K17="高",IF(L17="删除",J17*'模板使用说明&amp;基础参数'!$E$5*'模板使用说明&amp;基础参数'!$E$12,IF(L17="修改",J17*'模板使用说明&amp;基础参数'!$E$5*'模板使用说明&amp;基础参数'!$E$11,J17*'模板使用说明&amp;基础参数'!$E$5*'模板使用说明&amp;基础参数'!$E$10)),IF(K17="中",IF(L17="删除",J17*'模板使用说明&amp;基础参数'!$E$6*'模板使用说明&amp;基础参数'!$E$12,IF(L17="修改",J17*'模板使用说明&amp;基础参数'!$E$6*'模板使用说明&amp;基础参数'!$E$11,J17*'模板使用说明&amp;基础参数'!$E$6*'模板使用说明&amp;基础参数'!$E$10)),IF(L17="删除",J17*'模板使用说明&amp;基础参数'!$E$7*'模板使用说明&amp;基础参数'!$E$12,IF(L17="修改",J17*'模板使用说明&amp;基础参数'!$E$7*'模板使用说明&amp;基础参数'!$E$11,J17*'模板使用说明&amp;基础参数'!$E$7*'模板使用说明&amp;基础参数'!$E$10)))))</f>
        <v>2.6666666666666679</v>
      </c>
      <c r="N17" s="51"/>
    </row>
    <row r="18" spans="1:14" ht="40.5" x14ac:dyDescent="0.3">
      <c r="A18" s="49">
        <f t="shared" si="0"/>
        <v>13</v>
      </c>
      <c r="B18" s="50"/>
      <c r="C18" s="50" t="s">
        <v>80</v>
      </c>
      <c r="D18" s="50"/>
      <c r="E18" s="50"/>
      <c r="F18" s="50"/>
      <c r="G18" s="50" t="s">
        <v>81</v>
      </c>
      <c r="H18" s="50" t="s">
        <v>82</v>
      </c>
      <c r="I18" s="49" t="s">
        <v>56</v>
      </c>
      <c r="J18" s="52">
        <f>IF(I18="ILF",IF($C$1="预估功能点",'模板使用说明&amp;基础参数'!$E$15,'模板使用说明&amp;基础参数'!$E$22),IF(I18="EIF",IF($C$1="预估功能点",'模板使用说明&amp;基础参数'!$E$16,'模板使用说明&amp;基础参数'!$E$23),IF(I18="EI",IF($C$1="预估功能点",'模板使用说明&amp;基础参数'!$E$17,'模板使用说明&amp;基础参数'!$E$24),IF(I18="EO",IF($C$1="预估功能点",'模板使用说明&amp;基础参数'!$E$18,'模板使用说明&amp;基础参数'!$E$25),IF(I18="EQ",IF($C$1="预估功能点",'模板使用说明&amp;基础参数'!$E$19,'模板使用说明&amp;基础参数'!$E$26),"")))))</f>
        <v>4</v>
      </c>
      <c r="K18" s="53" t="s">
        <v>44</v>
      </c>
      <c r="L18" s="53" t="s">
        <v>45</v>
      </c>
      <c r="M18" s="54">
        <f>IF(J18="","",IF(K18="高",IF(L18="删除",J18*'模板使用说明&amp;基础参数'!$E$5*'模板使用说明&amp;基础参数'!$E$12,IF(L18="修改",J18*'模板使用说明&amp;基础参数'!$E$5*'模板使用说明&amp;基础参数'!$E$11,J18*'模板使用说明&amp;基础参数'!$E$5*'模板使用说明&amp;基础参数'!$E$10)),IF(K18="中",IF(L18="删除",J18*'模板使用说明&amp;基础参数'!$E$6*'模板使用说明&amp;基础参数'!$E$12,IF(L18="修改",J18*'模板使用说明&amp;基础参数'!$E$6*'模板使用说明&amp;基础参数'!$E$11,J18*'模板使用说明&amp;基础参数'!$E$6*'模板使用说明&amp;基础参数'!$E$10)),IF(L18="删除",J18*'模板使用说明&amp;基础参数'!$E$7*'模板使用说明&amp;基础参数'!$E$12,IF(L18="修改",J18*'模板使用说明&amp;基础参数'!$E$7*'模板使用说明&amp;基础参数'!$E$11,J18*'模板使用说明&amp;基础参数'!$E$7*'模板使用说明&amp;基础参数'!$E$10)))))</f>
        <v>2.6666666666666679</v>
      </c>
      <c r="N18" s="51"/>
    </row>
    <row r="19" spans="1:14" ht="40.5" x14ac:dyDescent="0.3">
      <c r="A19" s="49">
        <f t="shared" si="0"/>
        <v>14</v>
      </c>
      <c r="B19" s="50"/>
      <c r="C19" s="50" t="s">
        <v>83</v>
      </c>
      <c r="D19" s="50"/>
      <c r="E19" s="50"/>
      <c r="F19" s="50"/>
      <c r="G19" s="50" t="s">
        <v>84</v>
      </c>
      <c r="H19" s="50" t="s">
        <v>85</v>
      </c>
      <c r="I19" s="49" t="s">
        <v>56</v>
      </c>
      <c r="J19" s="52">
        <f>IF(I19="ILF",IF($C$1="预估功能点",'模板使用说明&amp;基础参数'!$E$15,'模板使用说明&amp;基础参数'!$E$22),IF(I19="EIF",IF($C$1="预估功能点",'模板使用说明&amp;基础参数'!$E$16,'模板使用说明&amp;基础参数'!$E$23),IF(I19="EI",IF($C$1="预估功能点",'模板使用说明&amp;基础参数'!$E$17,'模板使用说明&amp;基础参数'!$E$24),IF(I19="EO",IF($C$1="预估功能点",'模板使用说明&amp;基础参数'!$E$18,'模板使用说明&amp;基础参数'!$E$25),IF(I19="EQ",IF($C$1="预估功能点",'模板使用说明&amp;基础参数'!$E$19,'模板使用说明&amp;基础参数'!$E$26),"")))))</f>
        <v>4</v>
      </c>
      <c r="K19" s="53" t="s">
        <v>44</v>
      </c>
      <c r="L19" s="53" t="s">
        <v>45</v>
      </c>
      <c r="M19" s="54">
        <f>IF(J19="","",IF(K19="高",IF(L19="删除",J19*'模板使用说明&amp;基础参数'!$E$5*'模板使用说明&amp;基础参数'!$E$12,IF(L19="修改",J19*'模板使用说明&amp;基础参数'!$E$5*'模板使用说明&amp;基础参数'!$E$11,J19*'模板使用说明&amp;基础参数'!$E$5*'模板使用说明&amp;基础参数'!$E$10)),IF(K19="中",IF(L19="删除",J19*'模板使用说明&amp;基础参数'!$E$6*'模板使用说明&amp;基础参数'!$E$12,IF(L19="修改",J19*'模板使用说明&amp;基础参数'!$E$6*'模板使用说明&amp;基础参数'!$E$11,J19*'模板使用说明&amp;基础参数'!$E$6*'模板使用说明&amp;基础参数'!$E$10)),IF(L19="删除",J19*'模板使用说明&amp;基础参数'!$E$7*'模板使用说明&amp;基础参数'!$E$12,IF(L19="修改",J19*'模板使用说明&amp;基础参数'!$E$7*'模板使用说明&amp;基础参数'!$E$11,J19*'模板使用说明&amp;基础参数'!$E$7*'模板使用说明&amp;基础参数'!$E$10)))))</f>
        <v>2.6666666666666679</v>
      </c>
      <c r="N19" s="51"/>
    </row>
    <row r="20" spans="1:14" ht="54" x14ac:dyDescent="0.3">
      <c r="A20" s="49">
        <f t="shared" si="0"/>
        <v>15</v>
      </c>
      <c r="B20" s="50"/>
      <c r="C20" s="50" t="s">
        <v>86</v>
      </c>
      <c r="D20" s="50"/>
      <c r="E20" s="50"/>
      <c r="F20" s="50"/>
      <c r="G20" s="50" t="s">
        <v>87</v>
      </c>
      <c r="H20" s="50" t="s">
        <v>88</v>
      </c>
      <c r="I20" s="49" t="s">
        <v>43</v>
      </c>
      <c r="J20" s="52">
        <f>IF(I20="ILF",IF($C$1="预估功能点",'模板使用说明&amp;基础参数'!$E$15,'模板使用说明&amp;基础参数'!$E$22),IF(I20="EIF",IF($C$1="预估功能点",'模板使用说明&amp;基础参数'!$E$16,'模板使用说明&amp;基础参数'!$E$23),IF(I20="EI",IF($C$1="预估功能点",'模板使用说明&amp;基础参数'!$E$17,'模板使用说明&amp;基础参数'!$E$24),IF(I20="EO",IF($C$1="预估功能点",'模板使用说明&amp;基础参数'!$E$18,'模板使用说明&amp;基础参数'!$E$25),IF(I20="EQ",IF($C$1="预估功能点",'模板使用说明&amp;基础参数'!$E$19,'模板使用说明&amp;基础参数'!$E$26),"")))))</f>
        <v>4</v>
      </c>
      <c r="K20" s="53" t="s">
        <v>44</v>
      </c>
      <c r="L20" s="53" t="s">
        <v>45</v>
      </c>
      <c r="M20" s="54">
        <f>IF(J20="","",IF(K20="高",IF(L20="删除",J20*'模板使用说明&amp;基础参数'!$E$5*'模板使用说明&amp;基础参数'!$E$12,IF(L20="修改",J20*'模板使用说明&amp;基础参数'!$E$5*'模板使用说明&amp;基础参数'!$E$11,J20*'模板使用说明&amp;基础参数'!$E$5*'模板使用说明&amp;基础参数'!$E$10)),IF(K20="中",IF(L20="删除",J20*'模板使用说明&amp;基础参数'!$E$6*'模板使用说明&amp;基础参数'!$E$12,IF(L20="修改",J20*'模板使用说明&amp;基础参数'!$E$6*'模板使用说明&amp;基础参数'!$E$11,J20*'模板使用说明&amp;基础参数'!$E$6*'模板使用说明&amp;基础参数'!$E$10)),IF(L20="删除",J20*'模板使用说明&amp;基础参数'!$E$7*'模板使用说明&amp;基础参数'!$E$12,IF(L20="修改",J20*'模板使用说明&amp;基础参数'!$E$7*'模板使用说明&amp;基础参数'!$E$11,J20*'模板使用说明&amp;基础参数'!$E$7*'模板使用说明&amp;基础参数'!$E$10)))))</f>
        <v>2.6666666666666679</v>
      </c>
      <c r="N20" s="51"/>
    </row>
    <row r="21" spans="1:14" x14ac:dyDescent="0.3">
      <c r="A21" s="49">
        <f t="shared" si="0"/>
        <v>16</v>
      </c>
      <c r="B21" s="50"/>
      <c r="C21" s="50"/>
      <c r="D21" s="50"/>
      <c r="E21" s="50"/>
      <c r="F21" s="50"/>
      <c r="G21" s="50" t="s">
        <v>89</v>
      </c>
      <c r="H21" s="50" t="s">
        <v>90</v>
      </c>
      <c r="I21" s="49" t="s">
        <v>48</v>
      </c>
      <c r="J21" s="52">
        <f>IF(I21="ILF",IF($C$1="预估功能点",'模板使用说明&amp;基础参数'!$E$15,'模板使用说明&amp;基础参数'!$E$22),IF(I21="EIF",IF($C$1="预估功能点",'模板使用说明&amp;基础参数'!$E$16,'模板使用说明&amp;基础参数'!$E$23),IF(I21="EI",IF($C$1="预估功能点",'模板使用说明&amp;基础参数'!$E$17,'模板使用说明&amp;基础参数'!$E$24),IF(I21="EO",IF($C$1="预估功能点",'模板使用说明&amp;基础参数'!$E$18,'模板使用说明&amp;基础参数'!$E$25),IF(I21="EQ",IF($C$1="预估功能点",'模板使用说明&amp;基础参数'!$E$19,'模板使用说明&amp;基础参数'!$E$26),"")))))</f>
        <v>10</v>
      </c>
      <c r="K21" s="53" t="s">
        <v>49</v>
      </c>
      <c r="L21" s="53" t="s">
        <v>50</v>
      </c>
      <c r="M21" s="54">
        <f>IF(J21="","",IF(K21="高",IF(L21="删除",J21*'模板使用说明&amp;基础参数'!$E$5*'模板使用说明&amp;基础参数'!$E$12,IF(L21="修改",J21*'模板使用说明&amp;基础参数'!$E$5*'模板使用说明&amp;基础参数'!$E$11,J21*'模板使用说明&amp;基础参数'!$E$5*'模板使用说明&amp;基础参数'!$E$10)),IF(K21="中",IF(L21="删除",J21*'模板使用说明&amp;基础参数'!$E$6*'模板使用说明&amp;基础参数'!$E$12,IF(L21="修改",J21*'模板使用说明&amp;基础参数'!$E$6*'模板使用说明&amp;基础参数'!$E$11,J21*'模板使用说明&amp;基础参数'!$E$6*'模板使用说明&amp;基础参数'!$E$10)),IF(L21="删除",J21*'模板使用说明&amp;基础参数'!$E$7*'模板使用说明&amp;基础参数'!$E$12,IF(L21="修改",J21*'模板使用说明&amp;基础参数'!$E$7*'模板使用说明&amp;基础参数'!$E$11,J21*'模板使用说明&amp;基础参数'!$E$7*'模板使用说明&amp;基础参数'!$E$10)))))</f>
        <v>2.6666666666666643</v>
      </c>
      <c r="N21" s="51"/>
    </row>
    <row r="22" spans="1:14" ht="40.5" x14ac:dyDescent="0.3">
      <c r="A22" s="49">
        <f t="shared" si="0"/>
        <v>17</v>
      </c>
      <c r="B22" s="50"/>
      <c r="C22" s="50" t="s">
        <v>91</v>
      </c>
      <c r="D22" s="50"/>
      <c r="E22" s="50"/>
      <c r="F22" s="50"/>
      <c r="G22" s="50" t="s">
        <v>92</v>
      </c>
      <c r="H22" s="50" t="s">
        <v>93</v>
      </c>
      <c r="I22" s="49" t="s">
        <v>43</v>
      </c>
      <c r="J22" s="52">
        <f>IF(I22="ILF",IF($C$1="预估功能点",'模板使用说明&amp;基础参数'!$E$15,'模板使用说明&amp;基础参数'!$E$22),IF(I22="EIF",IF($C$1="预估功能点",'模板使用说明&amp;基础参数'!$E$16,'模板使用说明&amp;基础参数'!$E$23),IF(I22="EI",IF($C$1="预估功能点",'模板使用说明&amp;基础参数'!$E$17,'模板使用说明&amp;基础参数'!$E$24),IF(I22="EO",IF($C$1="预估功能点",'模板使用说明&amp;基础参数'!$E$18,'模板使用说明&amp;基础参数'!$E$25),IF(I22="EQ",IF($C$1="预估功能点",'模板使用说明&amp;基础参数'!$E$19,'模板使用说明&amp;基础参数'!$E$26),"")))))</f>
        <v>4</v>
      </c>
      <c r="K22" s="53" t="s">
        <v>44</v>
      </c>
      <c r="L22" s="53" t="s">
        <v>45</v>
      </c>
      <c r="M22" s="54">
        <f>IF(J22="","",IF(K22="高",IF(L22="删除",J22*'模板使用说明&amp;基础参数'!$E$5*'模板使用说明&amp;基础参数'!$E$12,IF(L22="修改",J22*'模板使用说明&amp;基础参数'!$E$5*'模板使用说明&amp;基础参数'!$E$11,J22*'模板使用说明&amp;基础参数'!$E$5*'模板使用说明&amp;基础参数'!$E$10)),IF(K22="中",IF(L22="删除",J22*'模板使用说明&amp;基础参数'!$E$6*'模板使用说明&amp;基础参数'!$E$12,IF(L22="修改",J22*'模板使用说明&amp;基础参数'!$E$6*'模板使用说明&amp;基础参数'!$E$11,J22*'模板使用说明&amp;基础参数'!$E$6*'模板使用说明&amp;基础参数'!$E$10)),IF(L22="删除",J22*'模板使用说明&amp;基础参数'!$E$7*'模板使用说明&amp;基础参数'!$E$12,IF(L22="修改",J22*'模板使用说明&amp;基础参数'!$E$7*'模板使用说明&amp;基础参数'!$E$11,J22*'模板使用说明&amp;基础参数'!$E$7*'模板使用说明&amp;基础参数'!$E$10)))))</f>
        <v>2.6666666666666679</v>
      </c>
      <c r="N22" s="51"/>
    </row>
    <row r="23" spans="1:14" ht="40.5" x14ac:dyDescent="0.3">
      <c r="A23" s="49">
        <f t="shared" si="0"/>
        <v>18</v>
      </c>
      <c r="B23" s="50"/>
      <c r="C23" s="50" t="s">
        <v>94</v>
      </c>
      <c r="D23" s="50"/>
      <c r="E23" s="50"/>
      <c r="F23" s="50"/>
      <c r="G23" s="50" t="s">
        <v>95</v>
      </c>
      <c r="H23" s="50" t="s">
        <v>96</v>
      </c>
      <c r="I23" s="49" t="s">
        <v>43</v>
      </c>
      <c r="J23" s="52">
        <f>IF(I23="ILF",IF($C$1="预估功能点",'模板使用说明&amp;基础参数'!$E$15,'模板使用说明&amp;基础参数'!$E$22),IF(I23="EIF",IF($C$1="预估功能点",'模板使用说明&amp;基础参数'!$E$16,'模板使用说明&amp;基础参数'!$E$23),IF(I23="EI",IF($C$1="预估功能点",'模板使用说明&amp;基础参数'!$E$17,'模板使用说明&amp;基础参数'!$E$24),IF(I23="EO",IF($C$1="预估功能点",'模板使用说明&amp;基础参数'!$E$18,'模板使用说明&amp;基础参数'!$E$25),IF(I23="EQ",IF($C$1="预估功能点",'模板使用说明&amp;基础参数'!$E$19,'模板使用说明&amp;基础参数'!$E$26),"")))))</f>
        <v>4</v>
      </c>
      <c r="K23" s="53" t="s">
        <v>49</v>
      </c>
      <c r="L23" s="53" t="s">
        <v>45</v>
      </c>
      <c r="M23" s="54">
        <f>IF(J23="","",IF(K23="高",IF(L23="删除",J23*'模板使用说明&amp;基础参数'!$E$5*'模板使用说明&amp;基础参数'!$E$12,IF(L23="修改",J23*'模板使用说明&amp;基础参数'!$E$5*'模板使用说明&amp;基础参数'!$E$11,J23*'模板使用说明&amp;基础参数'!$E$5*'模板使用说明&amp;基础参数'!$E$10)),IF(K23="中",IF(L23="删除",J23*'模板使用说明&amp;基础参数'!$E$6*'模板使用说明&amp;基础参数'!$E$12,IF(L23="修改",J23*'模板使用说明&amp;基础参数'!$E$6*'模板使用说明&amp;基础参数'!$E$11,J23*'模板使用说明&amp;基础参数'!$E$6*'模板使用说明&amp;基础参数'!$E$10)),IF(L23="删除",J23*'模板使用说明&amp;基础参数'!$E$7*'模板使用说明&amp;基础参数'!$E$12,IF(L23="修改",J23*'模板使用说明&amp;基础参数'!$E$7*'模板使用说明&amp;基础参数'!$E$11,J23*'模板使用说明&amp;基础参数'!$E$7*'模板使用说明&amp;基础参数'!$E$10)))))</f>
        <v>1.3333333333333319</v>
      </c>
      <c r="N23" s="51"/>
    </row>
    <row r="24" spans="1:14" ht="40.5" x14ac:dyDescent="0.3">
      <c r="A24" s="49">
        <f t="shared" si="0"/>
        <v>19</v>
      </c>
      <c r="B24" s="50"/>
      <c r="C24" s="50" t="s">
        <v>97</v>
      </c>
      <c r="D24" s="50"/>
      <c r="E24" s="50"/>
      <c r="F24" s="50"/>
      <c r="G24" s="50" t="s">
        <v>98</v>
      </c>
      <c r="H24" s="50" t="s">
        <v>99</v>
      </c>
      <c r="I24" s="49" t="s">
        <v>43</v>
      </c>
      <c r="J24" s="52">
        <f>IF(I24="ILF",IF($C$1="预估功能点",'模板使用说明&amp;基础参数'!$E$15,'模板使用说明&amp;基础参数'!$E$22),IF(I24="EIF",IF($C$1="预估功能点",'模板使用说明&amp;基础参数'!$E$16,'模板使用说明&amp;基础参数'!$E$23),IF(I24="EI",IF($C$1="预估功能点",'模板使用说明&amp;基础参数'!$E$17,'模板使用说明&amp;基础参数'!$E$24),IF(I24="EO",IF($C$1="预估功能点",'模板使用说明&amp;基础参数'!$E$18,'模板使用说明&amp;基础参数'!$E$25),IF(I24="EQ",IF($C$1="预估功能点",'模板使用说明&amp;基础参数'!$E$19,'模板使用说明&amp;基础参数'!$E$26),"")))))</f>
        <v>4</v>
      </c>
      <c r="K24" s="53" t="s">
        <v>44</v>
      </c>
      <c r="L24" s="53" t="s">
        <v>45</v>
      </c>
      <c r="M24" s="54">
        <f>IF(J24="","",IF(K24="高",IF(L24="删除",J24*'模板使用说明&amp;基础参数'!$E$5*'模板使用说明&amp;基础参数'!$E$12,IF(L24="修改",J24*'模板使用说明&amp;基础参数'!$E$5*'模板使用说明&amp;基础参数'!$E$11,J24*'模板使用说明&amp;基础参数'!$E$5*'模板使用说明&amp;基础参数'!$E$10)),IF(K24="中",IF(L24="删除",J24*'模板使用说明&amp;基础参数'!$E$6*'模板使用说明&amp;基础参数'!$E$12,IF(L24="修改",J24*'模板使用说明&amp;基础参数'!$E$6*'模板使用说明&amp;基础参数'!$E$11,J24*'模板使用说明&amp;基础参数'!$E$6*'模板使用说明&amp;基础参数'!$E$10)),IF(L24="删除",J24*'模板使用说明&amp;基础参数'!$E$7*'模板使用说明&amp;基础参数'!$E$12,IF(L24="修改",J24*'模板使用说明&amp;基础参数'!$E$7*'模板使用说明&amp;基础参数'!$E$11,J24*'模板使用说明&amp;基础参数'!$E$7*'模板使用说明&amp;基础参数'!$E$10)))))</f>
        <v>2.6666666666666679</v>
      </c>
      <c r="N24" s="51"/>
    </row>
    <row r="25" spans="1:14" ht="40.5" x14ac:dyDescent="0.3">
      <c r="A25" s="49">
        <f t="shared" si="0"/>
        <v>20</v>
      </c>
      <c r="B25" s="50"/>
      <c r="C25" s="50" t="s">
        <v>100</v>
      </c>
      <c r="D25" s="50"/>
      <c r="E25" s="50"/>
      <c r="F25" s="50"/>
      <c r="G25" s="50" t="s">
        <v>101</v>
      </c>
      <c r="H25" s="50" t="s">
        <v>102</v>
      </c>
      <c r="I25" s="49" t="s">
        <v>43</v>
      </c>
      <c r="J25" s="52">
        <f>IF(I25="ILF",IF($C$1="预估功能点",'模板使用说明&amp;基础参数'!$E$15,'模板使用说明&amp;基础参数'!$E$22),IF(I25="EIF",IF($C$1="预估功能点",'模板使用说明&amp;基础参数'!$E$16,'模板使用说明&amp;基础参数'!$E$23),IF(I25="EI",IF($C$1="预估功能点",'模板使用说明&amp;基础参数'!$E$17,'模板使用说明&amp;基础参数'!$E$24),IF(I25="EO",IF($C$1="预估功能点",'模板使用说明&amp;基础参数'!$E$18,'模板使用说明&amp;基础参数'!$E$25),IF(I25="EQ",IF($C$1="预估功能点",'模板使用说明&amp;基础参数'!$E$19,'模板使用说明&amp;基础参数'!$E$26),"")))))</f>
        <v>4</v>
      </c>
      <c r="K25" s="53" t="s">
        <v>44</v>
      </c>
      <c r="L25" s="53" t="s">
        <v>45</v>
      </c>
      <c r="M25" s="54">
        <f>IF(J25="","",IF(K25="高",IF(L25="删除",J25*'模板使用说明&amp;基础参数'!$E$5*'模板使用说明&amp;基础参数'!$E$12,IF(L25="修改",J25*'模板使用说明&amp;基础参数'!$E$5*'模板使用说明&amp;基础参数'!$E$11,J25*'模板使用说明&amp;基础参数'!$E$5*'模板使用说明&amp;基础参数'!$E$10)),IF(K25="中",IF(L25="删除",J25*'模板使用说明&amp;基础参数'!$E$6*'模板使用说明&amp;基础参数'!$E$12,IF(L25="修改",J25*'模板使用说明&amp;基础参数'!$E$6*'模板使用说明&amp;基础参数'!$E$11,J25*'模板使用说明&amp;基础参数'!$E$6*'模板使用说明&amp;基础参数'!$E$10)),IF(L25="删除",J25*'模板使用说明&amp;基础参数'!$E$7*'模板使用说明&amp;基础参数'!$E$12,IF(L25="修改",J25*'模板使用说明&amp;基础参数'!$E$7*'模板使用说明&amp;基础参数'!$E$11,J25*'模板使用说明&amp;基础参数'!$E$7*'模板使用说明&amp;基础参数'!$E$10)))))</f>
        <v>2.6666666666666679</v>
      </c>
      <c r="N25" s="51"/>
    </row>
    <row r="26" spans="1:14" ht="40.5" x14ac:dyDescent="0.3">
      <c r="A26" s="49">
        <f t="shared" si="0"/>
        <v>21</v>
      </c>
      <c r="B26" s="50"/>
      <c r="C26" s="50" t="s">
        <v>103</v>
      </c>
      <c r="D26" s="50"/>
      <c r="E26" s="50"/>
      <c r="F26" s="50"/>
      <c r="G26" s="50" t="s">
        <v>104</v>
      </c>
      <c r="H26" s="50" t="s">
        <v>105</v>
      </c>
      <c r="I26" s="49" t="s">
        <v>56</v>
      </c>
      <c r="J26" s="52">
        <f>IF(I26="ILF",IF($C$1="预估功能点",'模板使用说明&amp;基础参数'!$E$15,'模板使用说明&amp;基础参数'!$E$22),IF(I26="EIF",IF($C$1="预估功能点",'模板使用说明&amp;基础参数'!$E$16,'模板使用说明&amp;基础参数'!$E$23),IF(I26="EI",IF($C$1="预估功能点",'模板使用说明&amp;基础参数'!$E$17,'模板使用说明&amp;基础参数'!$E$24),IF(I26="EO",IF($C$1="预估功能点",'模板使用说明&amp;基础参数'!$E$18,'模板使用说明&amp;基础参数'!$E$25),IF(I26="EQ",IF($C$1="预估功能点",'模板使用说明&amp;基础参数'!$E$19,'模板使用说明&amp;基础参数'!$E$26),"")))))</f>
        <v>4</v>
      </c>
      <c r="K26" s="53" t="s">
        <v>44</v>
      </c>
      <c r="L26" s="53" t="s">
        <v>45</v>
      </c>
      <c r="M26" s="54">
        <f>IF(J26="","",IF(K26="高",IF(L26="删除",J26*'模板使用说明&amp;基础参数'!$E$5*'模板使用说明&amp;基础参数'!$E$12,IF(L26="修改",J26*'模板使用说明&amp;基础参数'!$E$5*'模板使用说明&amp;基础参数'!$E$11,J26*'模板使用说明&amp;基础参数'!$E$5*'模板使用说明&amp;基础参数'!$E$10)),IF(K26="中",IF(L26="删除",J26*'模板使用说明&amp;基础参数'!$E$6*'模板使用说明&amp;基础参数'!$E$12,IF(L26="修改",J26*'模板使用说明&amp;基础参数'!$E$6*'模板使用说明&amp;基础参数'!$E$11,J26*'模板使用说明&amp;基础参数'!$E$6*'模板使用说明&amp;基础参数'!$E$10)),IF(L26="删除",J26*'模板使用说明&amp;基础参数'!$E$7*'模板使用说明&amp;基础参数'!$E$12,IF(L26="修改",J26*'模板使用说明&amp;基础参数'!$E$7*'模板使用说明&amp;基础参数'!$E$11,J26*'模板使用说明&amp;基础参数'!$E$7*'模板使用说明&amp;基础参数'!$E$10)))))</f>
        <v>2.6666666666666679</v>
      </c>
      <c r="N26" s="51"/>
    </row>
    <row r="27" spans="1:14" ht="40.5" x14ac:dyDescent="0.3">
      <c r="A27" s="49">
        <f t="shared" si="0"/>
        <v>22</v>
      </c>
      <c r="B27" s="50"/>
      <c r="C27" s="50" t="s">
        <v>106</v>
      </c>
      <c r="D27" s="50"/>
      <c r="E27" s="50"/>
      <c r="F27" s="50"/>
      <c r="G27" s="50" t="s">
        <v>107</v>
      </c>
      <c r="H27" s="50" t="s">
        <v>108</v>
      </c>
      <c r="I27" s="49" t="s">
        <v>43</v>
      </c>
      <c r="J27" s="52">
        <f>IF(I27="ILF",IF($C$1="预估功能点",'模板使用说明&amp;基础参数'!$E$15,'模板使用说明&amp;基础参数'!$E$22),IF(I27="EIF",IF($C$1="预估功能点",'模板使用说明&amp;基础参数'!$E$16,'模板使用说明&amp;基础参数'!$E$23),IF(I27="EI",IF($C$1="预估功能点",'模板使用说明&amp;基础参数'!$E$17,'模板使用说明&amp;基础参数'!$E$24),IF(I27="EO",IF($C$1="预估功能点",'模板使用说明&amp;基础参数'!$E$18,'模板使用说明&amp;基础参数'!$E$25),IF(I27="EQ",IF($C$1="预估功能点",'模板使用说明&amp;基础参数'!$E$19,'模板使用说明&amp;基础参数'!$E$26),"")))))</f>
        <v>4</v>
      </c>
      <c r="K27" s="53" t="s">
        <v>44</v>
      </c>
      <c r="L27" s="53" t="s">
        <v>45</v>
      </c>
      <c r="M27" s="54">
        <f>IF(J27="","",IF(K27="高",IF(L27="删除",J27*'模板使用说明&amp;基础参数'!$E$5*'模板使用说明&amp;基础参数'!$E$12,IF(L27="修改",J27*'模板使用说明&amp;基础参数'!$E$5*'模板使用说明&amp;基础参数'!$E$11,J27*'模板使用说明&amp;基础参数'!$E$5*'模板使用说明&amp;基础参数'!$E$10)),IF(K27="中",IF(L27="删除",J27*'模板使用说明&amp;基础参数'!$E$6*'模板使用说明&amp;基础参数'!$E$12,IF(L27="修改",J27*'模板使用说明&amp;基础参数'!$E$6*'模板使用说明&amp;基础参数'!$E$11,J27*'模板使用说明&amp;基础参数'!$E$6*'模板使用说明&amp;基础参数'!$E$10)),IF(L27="删除",J27*'模板使用说明&amp;基础参数'!$E$7*'模板使用说明&amp;基础参数'!$E$12,IF(L27="修改",J27*'模板使用说明&amp;基础参数'!$E$7*'模板使用说明&amp;基础参数'!$E$11,J27*'模板使用说明&amp;基础参数'!$E$7*'模板使用说明&amp;基础参数'!$E$10)))))</f>
        <v>2.6666666666666679</v>
      </c>
      <c r="N27" s="51"/>
    </row>
    <row r="28" spans="1:14" ht="40.5" x14ac:dyDescent="0.3">
      <c r="A28" s="49">
        <f t="shared" si="0"/>
        <v>23</v>
      </c>
      <c r="B28" s="50"/>
      <c r="C28" s="50" t="s">
        <v>109</v>
      </c>
      <c r="D28" s="50"/>
      <c r="E28" s="50"/>
      <c r="F28" s="50"/>
      <c r="G28" s="50" t="s">
        <v>110</v>
      </c>
      <c r="H28" s="50" t="s">
        <v>111</v>
      </c>
      <c r="I28" s="49" t="s">
        <v>56</v>
      </c>
      <c r="J28" s="52">
        <f>IF(I28="ILF",IF($C$1="预估功能点",'模板使用说明&amp;基础参数'!$E$15,'模板使用说明&amp;基础参数'!$E$22),IF(I28="EIF",IF($C$1="预估功能点",'模板使用说明&amp;基础参数'!$E$16,'模板使用说明&amp;基础参数'!$E$23),IF(I28="EI",IF($C$1="预估功能点",'模板使用说明&amp;基础参数'!$E$17,'模板使用说明&amp;基础参数'!$E$24),IF(I28="EO",IF($C$1="预估功能点",'模板使用说明&amp;基础参数'!$E$18,'模板使用说明&amp;基础参数'!$E$25),IF(I28="EQ",IF($C$1="预估功能点",'模板使用说明&amp;基础参数'!$E$19,'模板使用说明&amp;基础参数'!$E$26),"")))))</f>
        <v>4</v>
      </c>
      <c r="K28" s="53" t="s">
        <v>44</v>
      </c>
      <c r="L28" s="53" t="s">
        <v>45</v>
      </c>
      <c r="M28" s="54">
        <f>IF(J28="","",IF(K28="高",IF(L28="删除",J28*'模板使用说明&amp;基础参数'!$E$5*'模板使用说明&amp;基础参数'!$E$12,IF(L28="修改",J28*'模板使用说明&amp;基础参数'!$E$5*'模板使用说明&amp;基础参数'!$E$11,J28*'模板使用说明&amp;基础参数'!$E$5*'模板使用说明&amp;基础参数'!$E$10)),IF(K28="中",IF(L28="删除",J28*'模板使用说明&amp;基础参数'!$E$6*'模板使用说明&amp;基础参数'!$E$12,IF(L28="修改",J28*'模板使用说明&amp;基础参数'!$E$6*'模板使用说明&amp;基础参数'!$E$11,J28*'模板使用说明&amp;基础参数'!$E$6*'模板使用说明&amp;基础参数'!$E$10)),IF(L28="删除",J28*'模板使用说明&amp;基础参数'!$E$7*'模板使用说明&amp;基础参数'!$E$12,IF(L28="修改",J28*'模板使用说明&amp;基础参数'!$E$7*'模板使用说明&amp;基础参数'!$E$11,J28*'模板使用说明&amp;基础参数'!$E$7*'模板使用说明&amp;基础参数'!$E$10)))))</f>
        <v>2.6666666666666679</v>
      </c>
      <c r="N28" s="51"/>
    </row>
    <row r="29" spans="1:14" ht="40.5" x14ac:dyDescent="0.3">
      <c r="A29" s="49">
        <f t="shared" si="0"/>
        <v>24</v>
      </c>
      <c r="B29" s="50"/>
      <c r="C29" s="50" t="s">
        <v>112</v>
      </c>
      <c r="D29" s="50"/>
      <c r="E29" s="50"/>
      <c r="F29" s="50"/>
      <c r="G29" s="50" t="s">
        <v>112</v>
      </c>
      <c r="H29" s="50" t="s">
        <v>113</v>
      </c>
      <c r="I29" s="49" t="s">
        <v>43</v>
      </c>
      <c r="J29" s="52">
        <f>IF(I29="ILF",IF($C$1="预估功能点",'模板使用说明&amp;基础参数'!$E$15,'模板使用说明&amp;基础参数'!$E$22),IF(I29="EIF",IF($C$1="预估功能点",'模板使用说明&amp;基础参数'!$E$16,'模板使用说明&amp;基础参数'!$E$23),IF(I29="EI",IF($C$1="预估功能点",'模板使用说明&amp;基础参数'!$E$17,'模板使用说明&amp;基础参数'!$E$24),IF(I29="EO",IF($C$1="预估功能点",'模板使用说明&amp;基础参数'!$E$18,'模板使用说明&amp;基础参数'!$E$25),IF(I29="EQ",IF($C$1="预估功能点",'模板使用说明&amp;基础参数'!$E$19,'模板使用说明&amp;基础参数'!$E$26),"")))))</f>
        <v>4</v>
      </c>
      <c r="K29" s="53" t="s">
        <v>114</v>
      </c>
      <c r="L29" s="53" t="s">
        <v>45</v>
      </c>
      <c r="M29" s="54">
        <f>IF(J29="","",IF(K29="高",IF(L29="删除",J29*'模板使用说明&amp;基础参数'!$E$5*'模板使用说明&amp;基础参数'!$E$12,IF(L29="修改",J29*'模板使用说明&amp;基础参数'!$E$5*'模板使用说明&amp;基础参数'!$E$11,J29*'模板使用说明&amp;基础参数'!$E$5*'模板使用说明&amp;基础参数'!$E$10)),IF(K29="中",IF(L29="删除",J29*'模板使用说明&amp;基础参数'!$E$6*'模板使用说明&amp;基础参数'!$E$12,IF(L29="修改",J29*'模板使用说明&amp;基础参数'!$E$6*'模板使用说明&amp;基础参数'!$E$11,J29*'模板使用说明&amp;基础参数'!$E$6*'模板使用说明&amp;基础参数'!$E$10)),IF(L29="删除",J29*'模板使用说明&amp;基础参数'!$E$7*'模板使用说明&amp;基础参数'!$E$12,IF(L29="修改",J29*'模板使用说明&amp;基础参数'!$E$7*'模板使用说明&amp;基础参数'!$E$11,J29*'模板使用说明&amp;基础参数'!$E$7*'模板使用说明&amp;基础参数'!$E$10)))))</f>
        <v>4</v>
      </c>
      <c r="N29" s="51"/>
    </row>
    <row r="30" spans="1:14" ht="27" x14ac:dyDescent="0.3">
      <c r="A30" s="49">
        <f t="shared" si="0"/>
        <v>25</v>
      </c>
      <c r="B30" s="50"/>
      <c r="C30" s="50"/>
      <c r="D30" s="50"/>
      <c r="E30" s="50"/>
      <c r="F30" s="50"/>
      <c r="G30" s="50" t="s">
        <v>115</v>
      </c>
      <c r="H30" s="50"/>
      <c r="I30" s="49"/>
      <c r="J30" s="52" t="str">
        <f>IF(I30="ILF",IF($C$1="预估功能点",'模板使用说明&amp;基础参数'!$E$15,'模板使用说明&amp;基础参数'!$E$22),IF(I30="EIF",IF($C$1="预估功能点",'模板使用说明&amp;基础参数'!$E$16,'模板使用说明&amp;基础参数'!$E$23),IF(I30="EI",IF($C$1="预估功能点",'模板使用说明&amp;基础参数'!$E$17,'模板使用说明&amp;基础参数'!$E$24),IF(I30="EO",IF($C$1="预估功能点",'模板使用说明&amp;基础参数'!$E$18,'模板使用说明&amp;基础参数'!$E$25),IF(I30="EQ",IF($C$1="预估功能点",'模板使用说明&amp;基础参数'!$E$19,'模板使用说明&amp;基础参数'!$E$26),"")))))</f>
        <v/>
      </c>
      <c r="K30" s="53"/>
      <c r="L30" s="53"/>
      <c r="M30" s="54" t="str">
        <f>IF(J30="","",IF(K30="高",IF(L30="删除",J30*'模板使用说明&amp;基础参数'!$E$5*'模板使用说明&amp;基础参数'!$E$12,IF(L30="修改",J30*'模板使用说明&amp;基础参数'!$E$5*'模板使用说明&amp;基础参数'!$E$11,J30*'模板使用说明&amp;基础参数'!$E$5*'模板使用说明&amp;基础参数'!$E$10)),IF(K30="中",IF(L30="删除",J30*'模板使用说明&amp;基础参数'!$E$6*'模板使用说明&amp;基础参数'!$E$12,IF(L30="修改",J30*'模板使用说明&amp;基础参数'!$E$6*'模板使用说明&amp;基础参数'!$E$11,J30*'模板使用说明&amp;基础参数'!$E$6*'模板使用说明&amp;基础参数'!$E$10)),IF(L30="删除",J30*'模板使用说明&amp;基础参数'!$E$7*'模板使用说明&amp;基础参数'!$E$12,IF(L30="修改",J30*'模板使用说明&amp;基础参数'!$E$7*'模板使用说明&amp;基础参数'!$E$11,J30*'模板使用说明&amp;基础参数'!$E$7*'模板使用说明&amp;基础参数'!$E$10)))))</f>
        <v/>
      </c>
      <c r="N30" s="51" t="s">
        <v>52</v>
      </c>
    </row>
    <row r="31" spans="1:14" ht="40.5" x14ac:dyDescent="0.3">
      <c r="A31" s="49">
        <f t="shared" si="0"/>
        <v>26</v>
      </c>
      <c r="B31" s="50"/>
      <c r="C31" s="50" t="s">
        <v>116</v>
      </c>
      <c r="D31" s="50"/>
      <c r="E31" s="50"/>
      <c r="F31" s="50"/>
      <c r="G31" s="50" t="s">
        <v>117</v>
      </c>
      <c r="H31" s="50" t="s">
        <v>118</v>
      </c>
      <c r="I31" s="49" t="s">
        <v>56</v>
      </c>
      <c r="J31" s="52">
        <f>IF(I31="ILF",IF($C$1="预估功能点",'模板使用说明&amp;基础参数'!$E$15,'模板使用说明&amp;基础参数'!$E$22),IF(I31="EIF",IF($C$1="预估功能点",'模板使用说明&amp;基础参数'!$E$16,'模板使用说明&amp;基础参数'!$E$23),IF(I31="EI",IF($C$1="预估功能点",'模板使用说明&amp;基础参数'!$E$17,'模板使用说明&amp;基础参数'!$E$24),IF(I31="EO",IF($C$1="预估功能点",'模板使用说明&amp;基础参数'!$E$18,'模板使用说明&amp;基础参数'!$E$25),IF(I31="EQ",IF($C$1="预估功能点",'模板使用说明&amp;基础参数'!$E$19,'模板使用说明&amp;基础参数'!$E$26),"")))))</f>
        <v>4</v>
      </c>
      <c r="K31" s="53" t="s">
        <v>114</v>
      </c>
      <c r="L31" s="53" t="s">
        <v>45</v>
      </c>
      <c r="M31" s="54">
        <f>IF(J31="","",IF(K31="高",IF(L31="删除",J31*'模板使用说明&amp;基础参数'!$E$5*'模板使用说明&amp;基础参数'!$E$12,IF(L31="修改",J31*'模板使用说明&amp;基础参数'!$E$5*'模板使用说明&amp;基础参数'!$E$11,J31*'模板使用说明&amp;基础参数'!$E$5*'模板使用说明&amp;基础参数'!$E$10)),IF(K31="中",IF(L31="删除",J31*'模板使用说明&amp;基础参数'!$E$6*'模板使用说明&amp;基础参数'!$E$12,IF(L31="修改",J31*'模板使用说明&amp;基础参数'!$E$6*'模板使用说明&amp;基础参数'!$E$11,J31*'模板使用说明&amp;基础参数'!$E$6*'模板使用说明&amp;基础参数'!$E$10)),IF(L31="删除",J31*'模板使用说明&amp;基础参数'!$E$7*'模板使用说明&amp;基础参数'!$E$12,IF(L31="修改",J31*'模板使用说明&amp;基础参数'!$E$7*'模板使用说明&amp;基础参数'!$E$11,J31*'模板使用说明&amp;基础参数'!$E$7*'模板使用说明&amp;基础参数'!$E$10)))))</f>
        <v>4</v>
      </c>
      <c r="N31" s="51"/>
    </row>
    <row r="32" spans="1:14" ht="54" x14ac:dyDescent="0.3">
      <c r="A32" s="49">
        <f t="shared" si="0"/>
        <v>27</v>
      </c>
      <c r="B32" s="50" t="s">
        <v>119</v>
      </c>
      <c r="C32" s="50" t="s">
        <v>120</v>
      </c>
      <c r="D32" s="50"/>
      <c r="E32" s="50"/>
      <c r="F32" s="50"/>
      <c r="G32" s="50" t="s">
        <v>121</v>
      </c>
      <c r="H32" s="50" t="s">
        <v>122</v>
      </c>
      <c r="I32" s="49" t="s">
        <v>123</v>
      </c>
      <c r="J32" s="52">
        <f>IF(I32="ILF",IF($C$1="预估功能点",'模板使用说明&amp;基础参数'!$E$15,'模板使用说明&amp;基础参数'!$E$22),IF(I32="EIF",IF($C$1="预估功能点",'模板使用说明&amp;基础参数'!$E$16,'模板使用说明&amp;基础参数'!$E$23),IF(I32="EI",IF($C$1="预估功能点",'模板使用说明&amp;基础参数'!$E$17,'模板使用说明&amp;基础参数'!$E$24),IF(I32="EO",IF($C$1="预估功能点",'模板使用说明&amp;基础参数'!$E$18,'模板使用说明&amp;基础参数'!$E$25),IF(I32="EQ",IF($C$1="预估功能点",'模板使用说明&amp;基础参数'!$E$19,'模板使用说明&amp;基础参数'!$E$26),"")))))</f>
        <v>5</v>
      </c>
      <c r="K32" s="53" t="s">
        <v>49</v>
      </c>
      <c r="L32" s="53" t="s">
        <v>50</v>
      </c>
      <c r="M32" s="54">
        <f>IF(J32="","",IF(K32="高",IF(L32="删除",J32*'模板使用说明&amp;基础参数'!$E$5*'模板使用说明&amp;基础参数'!$E$12,IF(L32="修改",J32*'模板使用说明&amp;基础参数'!$E$5*'模板使用说明&amp;基础参数'!$E$11,J32*'模板使用说明&amp;基础参数'!$E$5*'模板使用说明&amp;基础参数'!$E$10)),IF(K32="中",IF(L32="删除",J32*'模板使用说明&amp;基础参数'!$E$6*'模板使用说明&amp;基础参数'!$E$12,IF(L32="修改",J32*'模板使用说明&amp;基础参数'!$E$6*'模板使用说明&amp;基础参数'!$E$11,J32*'模板使用说明&amp;基础参数'!$E$6*'模板使用说明&amp;基础参数'!$E$10)),IF(L32="删除",J32*'模板使用说明&amp;基础参数'!$E$7*'模板使用说明&amp;基础参数'!$E$12,IF(L32="修改",J32*'模板使用说明&amp;基础参数'!$E$7*'模板使用说明&amp;基础参数'!$E$11,J32*'模板使用说明&amp;基础参数'!$E$7*'模板使用说明&amp;基础参数'!$E$10)))))</f>
        <v>1.3333333333333321</v>
      </c>
      <c r="N32" s="51"/>
    </row>
    <row r="33" spans="1:14" ht="54" x14ac:dyDescent="0.3">
      <c r="A33" s="49">
        <f t="shared" si="0"/>
        <v>28</v>
      </c>
      <c r="B33" s="50"/>
      <c r="C33" s="50"/>
      <c r="D33" s="50"/>
      <c r="E33" s="50"/>
      <c r="F33" s="50"/>
      <c r="G33" s="50" t="s">
        <v>124</v>
      </c>
      <c r="H33" s="50" t="s">
        <v>125</v>
      </c>
      <c r="I33" s="49" t="s">
        <v>48</v>
      </c>
      <c r="J33" s="52">
        <f>IF(I33="ILF",IF($C$1="预估功能点",'模板使用说明&amp;基础参数'!$E$15,'模板使用说明&amp;基础参数'!$E$22),IF(I33="EIF",IF($C$1="预估功能点",'模板使用说明&amp;基础参数'!$E$16,'模板使用说明&amp;基础参数'!$E$23),IF(I33="EI",IF($C$1="预估功能点",'模板使用说明&amp;基础参数'!$E$17,'模板使用说明&amp;基础参数'!$E$24),IF(I33="EO",IF($C$1="预估功能点",'模板使用说明&amp;基础参数'!$E$18,'模板使用说明&amp;基础参数'!$E$25),IF(I33="EQ",IF($C$1="预估功能点",'模板使用说明&amp;基础参数'!$E$19,'模板使用说明&amp;基础参数'!$E$26),"")))))</f>
        <v>10</v>
      </c>
      <c r="K33" s="53" t="s">
        <v>49</v>
      </c>
      <c r="L33" s="53" t="s">
        <v>50</v>
      </c>
      <c r="M33" s="54">
        <f>IF(J33="","",IF(K33="高",IF(L33="删除",J33*'模板使用说明&amp;基础参数'!$E$5*'模板使用说明&amp;基础参数'!$E$12,IF(L33="修改",J33*'模板使用说明&amp;基础参数'!$E$5*'模板使用说明&amp;基础参数'!$E$11,J33*'模板使用说明&amp;基础参数'!$E$5*'模板使用说明&amp;基础参数'!$E$10)),IF(K33="中",IF(L33="删除",J33*'模板使用说明&amp;基础参数'!$E$6*'模板使用说明&amp;基础参数'!$E$12,IF(L33="修改",J33*'模板使用说明&amp;基础参数'!$E$6*'模板使用说明&amp;基础参数'!$E$11,J33*'模板使用说明&amp;基础参数'!$E$6*'模板使用说明&amp;基础参数'!$E$10)),IF(L33="删除",J33*'模板使用说明&amp;基础参数'!$E$7*'模板使用说明&amp;基础参数'!$E$12,IF(L33="修改",J33*'模板使用说明&amp;基础参数'!$E$7*'模板使用说明&amp;基础参数'!$E$11,J33*'模板使用说明&amp;基础参数'!$E$7*'模板使用说明&amp;基础参数'!$E$10)))))</f>
        <v>2.6666666666666643</v>
      </c>
      <c r="N33" s="51"/>
    </row>
    <row r="34" spans="1:14" ht="54" x14ac:dyDescent="0.3">
      <c r="A34" s="49">
        <f t="shared" si="0"/>
        <v>29</v>
      </c>
      <c r="B34" s="50"/>
      <c r="C34" s="50" t="s">
        <v>126</v>
      </c>
      <c r="D34" s="50"/>
      <c r="E34" s="50"/>
      <c r="F34" s="50"/>
      <c r="G34" s="50" t="s">
        <v>127</v>
      </c>
      <c r="H34" s="50" t="s">
        <v>128</v>
      </c>
      <c r="I34" s="49" t="s">
        <v>123</v>
      </c>
      <c r="J34" s="52">
        <f>IF(I34="ILF",IF($C$1="预估功能点",'模板使用说明&amp;基础参数'!$E$15,'模板使用说明&amp;基础参数'!$E$22),IF(I34="EIF",IF($C$1="预估功能点",'模板使用说明&amp;基础参数'!$E$16,'模板使用说明&amp;基础参数'!$E$23),IF(I34="EI",IF($C$1="预估功能点",'模板使用说明&amp;基础参数'!$E$17,'模板使用说明&amp;基础参数'!$E$24),IF(I34="EO",IF($C$1="预估功能点",'模板使用说明&amp;基础参数'!$E$18,'模板使用说明&amp;基础参数'!$E$25),IF(I34="EQ",IF($C$1="预估功能点",'模板使用说明&amp;基础参数'!$E$19,'模板使用说明&amp;基础参数'!$E$26),"")))))</f>
        <v>5</v>
      </c>
      <c r="K34" s="53" t="s">
        <v>49</v>
      </c>
      <c r="L34" s="53" t="s">
        <v>50</v>
      </c>
      <c r="M34" s="54">
        <f>IF(J34="","",IF(K34="高",IF(L34="删除",J34*'模板使用说明&amp;基础参数'!$E$5*'模板使用说明&amp;基础参数'!$E$12,IF(L34="修改",J34*'模板使用说明&amp;基础参数'!$E$5*'模板使用说明&amp;基础参数'!$E$11,J34*'模板使用说明&amp;基础参数'!$E$5*'模板使用说明&amp;基础参数'!$E$10)),IF(K34="中",IF(L34="删除",J34*'模板使用说明&amp;基础参数'!$E$6*'模板使用说明&amp;基础参数'!$E$12,IF(L34="修改",J34*'模板使用说明&amp;基础参数'!$E$6*'模板使用说明&amp;基础参数'!$E$11,J34*'模板使用说明&amp;基础参数'!$E$6*'模板使用说明&amp;基础参数'!$E$10)),IF(L34="删除",J34*'模板使用说明&amp;基础参数'!$E$7*'模板使用说明&amp;基础参数'!$E$12,IF(L34="修改",J34*'模板使用说明&amp;基础参数'!$E$7*'模板使用说明&amp;基础参数'!$E$11,J34*'模板使用说明&amp;基础参数'!$E$7*'模板使用说明&amp;基础参数'!$E$10)))))</f>
        <v>1.3333333333333321</v>
      </c>
      <c r="N34" s="51"/>
    </row>
    <row r="35" spans="1:14" ht="54" x14ac:dyDescent="0.3">
      <c r="A35" s="49">
        <f t="shared" si="0"/>
        <v>30</v>
      </c>
      <c r="B35" s="50"/>
      <c r="C35" s="50"/>
      <c r="D35" s="50"/>
      <c r="E35" s="50"/>
      <c r="F35" s="50"/>
      <c r="G35" s="50" t="s">
        <v>124</v>
      </c>
      <c r="H35" s="50" t="s">
        <v>129</v>
      </c>
      <c r="I35" s="49" t="s">
        <v>48</v>
      </c>
      <c r="J35" s="52">
        <f>IF(I35="ILF",IF($C$1="预估功能点",'模板使用说明&amp;基础参数'!$E$15,'模板使用说明&amp;基础参数'!$E$22),IF(I35="EIF",IF($C$1="预估功能点",'模板使用说明&amp;基础参数'!$E$16,'模板使用说明&amp;基础参数'!$E$23),IF(I35="EI",IF($C$1="预估功能点",'模板使用说明&amp;基础参数'!$E$17,'模板使用说明&amp;基础参数'!$E$24),IF(I35="EO",IF($C$1="预估功能点",'模板使用说明&amp;基础参数'!$E$18,'模板使用说明&amp;基础参数'!$E$25),IF(I35="EQ",IF($C$1="预估功能点",'模板使用说明&amp;基础参数'!$E$19,'模板使用说明&amp;基础参数'!$E$26),"")))))</f>
        <v>10</v>
      </c>
      <c r="K35" s="53" t="s">
        <v>49</v>
      </c>
      <c r="L35" s="53" t="s">
        <v>50</v>
      </c>
      <c r="M35" s="54">
        <f>IF(J35="","",IF(K35="高",IF(L35="删除",J35*'模板使用说明&amp;基础参数'!$E$5*'模板使用说明&amp;基础参数'!$E$12,IF(L35="修改",J35*'模板使用说明&amp;基础参数'!$E$5*'模板使用说明&amp;基础参数'!$E$11,J35*'模板使用说明&amp;基础参数'!$E$5*'模板使用说明&amp;基础参数'!$E$10)),IF(K35="中",IF(L35="删除",J35*'模板使用说明&amp;基础参数'!$E$6*'模板使用说明&amp;基础参数'!$E$12,IF(L35="修改",J35*'模板使用说明&amp;基础参数'!$E$6*'模板使用说明&amp;基础参数'!$E$11,J35*'模板使用说明&amp;基础参数'!$E$6*'模板使用说明&amp;基础参数'!$E$10)),IF(L35="删除",J35*'模板使用说明&amp;基础参数'!$E$7*'模板使用说明&amp;基础参数'!$E$12,IF(L35="修改",J35*'模板使用说明&amp;基础参数'!$E$7*'模板使用说明&amp;基础参数'!$E$11,J35*'模板使用说明&amp;基础参数'!$E$7*'模板使用说明&amp;基础参数'!$E$10)))))</f>
        <v>2.6666666666666643</v>
      </c>
      <c r="N35" s="51"/>
    </row>
    <row r="36" spans="1:14" ht="54" x14ac:dyDescent="0.3">
      <c r="A36" s="49">
        <f t="shared" ref="A36:A45" si="1">ROW()-5</f>
        <v>31</v>
      </c>
      <c r="B36" s="50"/>
      <c r="C36" s="50" t="s">
        <v>130</v>
      </c>
      <c r="D36" s="50"/>
      <c r="E36" s="50"/>
      <c r="F36" s="50"/>
      <c r="G36" s="50" t="s">
        <v>131</v>
      </c>
      <c r="H36" s="50" t="s">
        <v>132</v>
      </c>
      <c r="I36" s="49" t="s">
        <v>123</v>
      </c>
      <c r="J36" s="52">
        <f>IF(I36="ILF",IF($C$1="预估功能点",'模板使用说明&amp;基础参数'!$E$15,'模板使用说明&amp;基础参数'!$E$22),IF(I36="EIF",IF($C$1="预估功能点",'模板使用说明&amp;基础参数'!$E$16,'模板使用说明&amp;基础参数'!$E$23),IF(I36="EI",IF($C$1="预估功能点",'模板使用说明&amp;基础参数'!$E$17,'模板使用说明&amp;基础参数'!$E$24),IF(I36="EO",IF($C$1="预估功能点",'模板使用说明&amp;基础参数'!$E$18,'模板使用说明&amp;基础参数'!$E$25),IF(I36="EQ",IF($C$1="预估功能点",'模板使用说明&amp;基础参数'!$E$19,'模板使用说明&amp;基础参数'!$E$26),"")))))</f>
        <v>5</v>
      </c>
      <c r="K36" s="53" t="s">
        <v>49</v>
      </c>
      <c r="L36" s="53" t="s">
        <v>50</v>
      </c>
      <c r="M36" s="54">
        <f>IF(J36="","",IF(K36="高",IF(L36="删除",J36*'模板使用说明&amp;基础参数'!$E$5*'模板使用说明&amp;基础参数'!$E$12,IF(L36="修改",J36*'模板使用说明&amp;基础参数'!$E$5*'模板使用说明&amp;基础参数'!$E$11,J36*'模板使用说明&amp;基础参数'!$E$5*'模板使用说明&amp;基础参数'!$E$10)),IF(K36="中",IF(L36="删除",J36*'模板使用说明&amp;基础参数'!$E$6*'模板使用说明&amp;基础参数'!$E$12,IF(L36="修改",J36*'模板使用说明&amp;基础参数'!$E$6*'模板使用说明&amp;基础参数'!$E$11,J36*'模板使用说明&amp;基础参数'!$E$6*'模板使用说明&amp;基础参数'!$E$10)),IF(L36="删除",J36*'模板使用说明&amp;基础参数'!$E$7*'模板使用说明&amp;基础参数'!$E$12,IF(L36="修改",J36*'模板使用说明&amp;基础参数'!$E$7*'模板使用说明&amp;基础参数'!$E$11,J36*'模板使用说明&amp;基础参数'!$E$7*'模板使用说明&amp;基础参数'!$E$10)))))</f>
        <v>1.3333333333333321</v>
      </c>
      <c r="N36" s="51"/>
    </row>
    <row r="37" spans="1:14" ht="54" x14ac:dyDescent="0.3">
      <c r="A37" s="49">
        <f t="shared" si="0"/>
        <v>32</v>
      </c>
      <c r="B37" s="50"/>
      <c r="C37" s="50"/>
      <c r="D37" s="50"/>
      <c r="E37" s="50"/>
      <c r="F37" s="50"/>
      <c r="G37" s="50" t="s">
        <v>124</v>
      </c>
      <c r="H37" s="50" t="s">
        <v>133</v>
      </c>
      <c r="I37" s="49" t="s">
        <v>48</v>
      </c>
      <c r="J37" s="52">
        <f>IF(I37="ILF",IF($C$1="预估功能点",'模板使用说明&amp;基础参数'!$E$15,'模板使用说明&amp;基础参数'!$E$22),IF(I37="EIF",IF($C$1="预估功能点",'模板使用说明&amp;基础参数'!$E$16,'模板使用说明&amp;基础参数'!$E$23),IF(I37="EI",IF($C$1="预估功能点",'模板使用说明&amp;基础参数'!$E$17,'模板使用说明&amp;基础参数'!$E$24),IF(I37="EO",IF($C$1="预估功能点",'模板使用说明&amp;基础参数'!$E$18,'模板使用说明&amp;基础参数'!$E$25),IF(I37="EQ",IF($C$1="预估功能点",'模板使用说明&amp;基础参数'!$E$19,'模板使用说明&amp;基础参数'!$E$26),"")))))</f>
        <v>10</v>
      </c>
      <c r="K37" s="53" t="s">
        <v>49</v>
      </c>
      <c r="L37" s="53" t="s">
        <v>50</v>
      </c>
      <c r="M37" s="54">
        <f>IF(J37="","",IF(K37="高",IF(L37="删除",J37*'模板使用说明&amp;基础参数'!$E$5*'模板使用说明&amp;基础参数'!$E$12,IF(L37="修改",J37*'模板使用说明&amp;基础参数'!$E$5*'模板使用说明&amp;基础参数'!$E$11,J37*'模板使用说明&amp;基础参数'!$E$5*'模板使用说明&amp;基础参数'!$E$10)),IF(K37="中",IF(L37="删除",J37*'模板使用说明&amp;基础参数'!$E$6*'模板使用说明&amp;基础参数'!$E$12,IF(L37="修改",J37*'模板使用说明&amp;基础参数'!$E$6*'模板使用说明&amp;基础参数'!$E$11,J37*'模板使用说明&amp;基础参数'!$E$6*'模板使用说明&amp;基础参数'!$E$10)),IF(L37="删除",J37*'模板使用说明&amp;基础参数'!$E$7*'模板使用说明&amp;基础参数'!$E$12,IF(L37="修改",J37*'模板使用说明&amp;基础参数'!$E$7*'模板使用说明&amp;基础参数'!$E$11,J37*'模板使用说明&amp;基础参数'!$E$7*'模板使用说明&amp;基础参数'!$E$10)))))</f>
        <v>2.6666666666666643</v>
      </c>
      <c r="N37" s="51"/>
    </row>
    <row r="38" spans="1:14" ht="54" x14ac:dyDescent="0.3">
      <c r="A38" s="49">
        <f t="shared" si="0"/>
        <v>33</v>
      </c>
      <c r="B38" s="50"/>
      <c r="C38" s="50" t="s">
        <v>134</v>
      </c>
      <c r="D38" s="50"/>
      <c r="E38" s="50"/>
      <c r="F38" s="50"/>
      <c r="G38" s="50" t="s">
        <v>135</v>
      </c>
      <c r="H38" s="50" t="s">
        <v>136</v>
      </c>
      <c r="I38" s="49" t="s">
        <v>123</v>
      </c>
      <c r="J38" s="52">
        <f>IF(I38="ILF",IF($C$1="预估功能点",'模板使用说明&amp;基础参数'!$E$15,'模板使用说明&amp;基础参数'!$E$22),IF(I38="EIF",IF($C$1="预估功能点",'模板使用说明&amp;基础参数'!$E$16,'模板使用说明&amp;基础参数'!$E$23),IF(I38="EI",IF($C$1="预估功能点",'模板使用说明&amp;基础参数'!$E$17,'模板使用说明&amp;基础参数'!$E$24),IF(I38="EO",IF($C$1="预估功能点",'模板使用说明&amp;基础参数'!$E$18,'模板使用说明&amp;基础参数'!$E$25),IF(I38="EQ",IF($C$1="预估功能点",'模板使用说明&amp;基础参数'!$E$19,'模板使用说明&amp;基础参数'!$E$26),"")))))</f>
        <v>5</v>
      </c>
      <c r="K38" s="53" t="s">
        <v>49</v>
      </c>
      <c r="L38" s="53" t="s">
        <v>50</v>
      </c>
      <c r="M38" s="54">
        <f>IF(J38="","",IF(K38="高",IF(L38="删除",J38*'模板使用说明&amp;基础参数'!$E$5*'模板使用说明&amp;基础参数'!$E$12,IF(L38="修改",J38*'模板使用说明&amp;基础参数'!$E$5*'模板使用说明&amp;基础参数'!$E$11,J38*'模板使用说明&amp;基础参数'!$E$5*'模板使用说明&amp;基础参数'!$E$10)),IF(K38="中",IF(L38="删除",J38*'模板使用说明&amp;基础参数'!$E$6*'模板使用说明&amp;基础参数'!$E$12,IF(L38="修改",J38*'模板使用说明&amp;基础参数'!$E$6*'模板使用说明&amp;基础参数'!$E$11,J38*'模板使用说明&amp;基础参数'!$E$6*'模板使用说明&amp;基础参数'!$E$10)),IF(L38="删除",J38*'模板使用说明&amp;基础参数'!$E$7*'模板使用说明&amp;基础参数'!$E$12,IF(L38="修改",J38*'模板使用说明&amp;基础参数'!$E$7*'模板使用说明&amp;基础参数'!$E$11,J38*'模板使用说明&amp;基础参数'!$E$7*'模板使用说明&amp;基础参数'!$E$10)))))</f>
        <v>1.3333333333333321</v>
      </c>
      <c r="N38" s="51"/>
    </row>
    <row r="39" spans="1:14" ht="54" x14ac:dyDescent="0.3">
      <c r="A39" s="49">
        <f t="shared" si="0"/>
        <v>34</v>
      </c>
      <c r="B39" s="50"/>
      <c r="C39" s="50"/>
      <c r="D39" s="50"/>
      <c r="E39" s="50"/>
      <c r="F39" s="50"/>
      <c r="G39" s="50" t="s">
        <v>124</v>
      </c>
      <c r="H39" s="50" t="s">
        <v>137</v>
      </c>
      <c r="I39" s="49" t="s">
        <v>48</v>
      </c>
      <c r="J39" s="52">
        <f>IF(I39="ILF",IF($C$1="预估功能点",'模板使用说明&amp;基础参数'!$E$15,'模板使用说明&amp;基础参数'!$E$22),IF(I39="EIF",IF($C$1="预估功能点",'模板使用说明&amp;基础参数'!$E$16,'模板使用说明&amp;基础参数'!$E$23),IF(I39="EI",IF($C$1="预估功能点",'模板使用说明&amp;基础参数'!$E$17,'模板使用说明&amp;基础参数'!$E$24),IF(I39="EO",IF($C$1="预估功能点",'模板使用说明&amp;基础参数'!$E$18,'模板使用说明&amp;基础参数'!$E$25),IF(I39="EQ",IF($C$1="预估功能点",'模板使用说明&amp;基础参数'!$E$19,'模板使用说明&amp;基础参数'!$E$26),"")))))</f>
        <v>10</v>
      </c>
      <c r="K39" s="53" t="s">
        <v>49</v>
      </c>
      <c r="L39" s="53" t="s">
        <v>50</v>
      </c>
      <c r="M39" s="54">
        <f>IF(J39="","",IF(K39="高",IF(L39="删除",J39*'模板使用说明&amp;基础参数'!$E$5*'模板使用说明&amp;基础参数'!$E$12,IF(L39="修改",J39*'模板使用说明&amp;基础参数'!$E$5*'模板使用说明&amp;基础参数'!$E$11,J39*'模板使用说明&amp;基础参数'!$E$5*'模板使用说明&amp;基础参数'!$E$10)),IF(K39="中",IF(L39="删除",J39*'模板使用说明&amp;基础参数'!$E$6*'模板使用说明&amp;基础参数'!$E$12,IF(L39="修改",J39*'模板使用说明&amp;基础参数'!$E$6*'模板使用说明&amp;基础参数'!$E$11,J39*'模板使用说明&amp;基础参数'!$E$6*'模板使用说明&amp;基础参数'!$E$10)),IF(L39="删除",J39*'模板使用说明&amp;基础参数'!$E$7*'模板使用说明&amp;基础参数'!$E$12,IF(L39="修改",J39*'模板使用说明&amp;基础参数'!$E$7*'模板使用说明&amp;基础参数'!$E$11,J39*'模板使用说明&amp;基础参数'!$E$7*'模板使用说明&amp;基础参数'!$E$10)))))</f>
        <v>2.6666666666666643</v>
      </c>
      <c r="N39" s="51"/>
    </row>
    <row r="40" spans="1:14" ht="54" x14ac:dyDescent="0.3">
      <c r="A40" s="49">
        <f t="shared" si="1"/>
        <v>35</v>
      </c>
      <c r="B40" s="50"/>
      <c r="C40" s="50" t="s">
        <v>138</v>
      </c>
      <c r="D40" s="50"/>
      <c r="E40" s="50"/>
      <c r="F40" s="50"/>
      <c r="G40" s="50" t="s">
        <v>139</v>
      </c>
      <c r="H40" s="50" t="s">
        <v>140</v>
      </c>
      <c r="I40" s="49" t="s">
        <v>123</v>
      </c>
      <c r="J40" s="52">
        <f>IF(I40="ILF",IF($C$1="预估功能点",'模板使用说明&amp;基础参数'!$E$15,'模板使用说明&amp;基础参数'!$E$22),IF(I40="EIF",IF($C$1="预估功能点",'模板使用说明&amp;基础参数'!$E$16,'模板使用说明&amp;基础参数'!$E$23),IF(I40="EI",IF($C$1="预估功能点",'模板使用说明&amp;基础参数'!$E$17,'模板使用说明&amp;基础参数'!$E$24),IF(I40="EO",IF($C$1="预估功能点",'模板使用说明&amp;基础参数'!$E$18,'模板使用说明&amp;基础参数'!$E$25),IF(I40="EQ",IF($C$1="预估功能点",'模板使用说明&amp;基础参数'!$E$19,'模板使用说明&amp;基础参数'!$E$26),"")))))</f>
        <v>5</v>
      </c>
      <c r="K40" s="53" t="s">
        <v>49</v>
      </c>
      <c r="L40" s="53" t="s">
        <v>50</v>
      </c>
      <c r="M40" s="54">
        <f>IF(J40="","",IF(K40="高",IF(L40="删除",J40*'模板使用说明&amp;基础参数'!$E$5*'模板使用说明&amp;基础参数'!$E$12,IF(L40="修改",J40*'模板使用说明&amp;基础参数'!$E$5*'模板使用说明&amp;基础参数'!$E$11,J40*'模板使用说明&amp;基础参数'!$E$5*'模板使用说明&amp;基础参数'!$E$10)),IF(K40="中",IF(L40="删除",J40*'模板使用说明&amp;基础参数'!$E$6*'模板使用说明&amp;基础参数'!$E$12,IF(L40="修改",J40*'模板使用说明&amp;基础参数'!$E$6*'模板使用说明&amp;基础参数'!$E$11,J40*'模板使用说明&amp;基础参数'!$E$6*'模板使用说明&amp;基础参数'!$E$10)),IF(L40="删除",J40*'模板使用说明&amp;基础参数'!$E$7*'模板使用说明&amp;基础参数'!$E$12,IF(L40="修改",J40*'模板使用说明&amp;基础参数'!$E$7*'模板使用说明&amp;基础参数'!$E$11,J40*'模板使用说明&amp;基础参数'!$E$7*'模板使用说明&amp;基础参数'!$E$10)))))</f>
        <v>1.3333333333333321</v>
      </c>
      <c r="N40" s="51"/>
    </row>
    <row r="41" spans="1:14" ht="54" x14ac:dyDescent="0.3">
      <c r="A41" s="49">
        <f t="shared" si="0"/>
        <v>36</v>
      </c>
      <c r="B41" s="50"/>
      <c r="C41" s="50"/>
      <c r="D41" s="50"/>
      <c r="E41" s="50"/>
      <c r="F41" s="50"/>
      <c r="G41" s="50" t="s">
        <v>124</v>
      </c>
      <c r="H41" s="50" t="s">
        <v>141</v>
      </c>
      <c r="I41" s="49" t="s">
        <v>48</v>
      </c>
      <c r="J41" s="52">
        <f>IF(I41="ILF",IF($C$1="预估功能点",'模板使用说明&amp;基础参数'!$E$15,'模板使用说明&amp;基础参数'!$E$22),IF(I41="EIF",IF($C$1="预估功能点",'模板使用说明&amp;基础参数'!$E$16,'模板使用说明&amp;基础参数'!$E$23),IF(I41="EI",IF($C$1="预估功能点",'模板使用说明&amp;基础参数'!$E$17,'模板使用说明&amp;基础参数'!$E$24),IF(I41="EO",IF($C$1="预估功能点",'模板使用说明&amp;基础参数'!$E$18,'模板使用说明&amp;基础参数'!$E$25),IF(I41="EQ",IF($C$1="预估功能点",'模板使用说明&amp;基础参数'!$E$19,'模板使用说明&amp;基础参数'!$E$26),"")))))</f>
        <v>10</v>
      </c>
      <c r="K41" s="53" t="s">
        <v>49</v>
      </c>
      <c r="L41" s="53" t="s">
        <v>50</v>
      </c>
      <c r="M41" s="54">
        <f>IF(J41="","",IF(K41="高",IF(L41="删除",J41*'模板使用说明&amp;基础参数'!$E$5*'模板使用说明&amp;基础参数'!$E$12,IF(L41="修改",J41*'模板使用说明&amp;基础参数'!$E$5*'模板使用说明&amp;基础参数'!$E$11,J41*'模板使用说明&amp;基础参数'!$E$5*'模板使用说明&amp;基础参数'!$E$10)),IF(K41="中",IF(L41="删除",J41*'模板使用说明&amp;基础参数'!$E$6*'模板使用说明&amp;基础参数'!$E$12,IF(L41="修改",J41*'模板使用说明&amp;基础参数'!$E$6*'模板使用说明&amp;基础参数'!$E$11,J41*'模板使用说明&amp;基础参数'!$E$6*'模板使用说明&amp;基础参数'!$E$10)),IF(L41="删除",J41*'模板使用说明&amp;基础参数'!$E$7*'模板使用说明&amp;基础参数'!$E$12,IF(L41="修改",J41*'模板使用说明&amp;基础参数'!$E$7*'模板使用说明&amp;基础参数'!$E$11,J41*'模板使用说明&amp;基础参数'!$E$7*'模板使用说明&amp;基础参数'!$E$10)))))</f>
        <v>2.6666666666666643</v>
      </c>
      <c r="N41" s="51"/>
    </row>
    <row r="42" spans="1:14" ht="54" x14ac:dyDescent="0.3">
      <c r="A42" s="49">
        <f t="shared" si="0"/>
        <v>37</v>
      </c>
      <c r="B42" s="50"/>
      <c r="C42" s="50" t="s">
        <v>142</v>
      </c>
      <c r="D42" s="50"/>
      <c r="E42" s="50"/>
      <c r="F42" s="50"/>
      <c r="G42" s="50" t="s">
        <v>143</v>
      </c>
      <c r="H42" s="50" t="s">
        <v>144</v>
      </c>
      <c r="I42" s="49" t="s">
        <v>123</v>
      </c>
      <c r="J42" s="52">
        <f>IF(I42="ILF",IF($C$1="预估功能点",'模板使用说明&amp;基础参数'!$E$15,'模板使用说明&amp;基础参数'!$E$22),IF(I42="EIF",IF($C$1="预估功能点",'模板使用说明&amp;基础参数'!$E$16,'模板使用说明&amp;基础参数'!$E$23),IF(I42="EI",IF($C$1="预估功能点",'模板使用说明&amp;基础参数'!$E$17,'模板使用说明&amp;基础参数'!$E$24),IF(I42="EO",IF($C$1="预估功能点",'模板使用说明&amp;基础参数'!$E$18,'模板使用说明&amp;基础参数'!$E$25),IF(I42="EQ",IF($C$1="预估功能点",'模板使用说明&amp;基础参数'!$E$19,'模板使用说明&amp;基础参数'!$E$26),"")))))</f>
        <v>5</v>
      </c>
      <c r="K42" s="53" t="s">
        <v>49</v>
      </c>
      <c r="L42" s="53" t="s">
        <v>50</v>
      </c>
      <c r="M42" s="54">
        <f>IF(J42="","",IF(K42="高",IF(L42="删除",J42*'模板使用说明&amp;基础参数'!$E$5*'模板使用说明&amp;基础参数'!$E$12,IF(L42="修改",J42*'模板使用说明&amp;基础参数'!$E$5*'模板使用说明&amp;基础参数'!$E$11,J42*'模板使用说明&amp;基础参数'!$E$5*'模板使用说明&amp;基础参数'!$E$10)),IF(K42="中",IF(L42="删除",J42*'模板使用说明&amp;基础参数'!$E$6*'模板使用说明&amp;基础参数'!$E$12,IF(L42="修改",J42*'模板使用说明&amp;基础参数'!$E$6*'模板使用说明&amp;基础参数'!$E$11,J42*'模板使用说明&amp;基础参数'!$E$6*'模板使用说明&amp;基础参数'!$E$10)),IF(L42="删除",J42*'模板使用说明&amp;基础参数'!$E$7*'模板使用说明&amp;基础参数'!$E$12,IF(L42="修改",J42*'模板使用说明&amp;基础参数'!$E$7*'模板使用说明&amp;基础参数'!$E$11,J42*'模板使用说明&amp;基础参数'!$E$7*'模板使用说明&amp;基础参数'!$E$10)))))</f>
        <v>1.3333333333333321</v>
      </c>
      <c r="N42" s="51"/>
    </row>
    <row r="43" spans="1:14" ht="54" x14ac:dyDescent="0.3">
      <c r="A43" s="49">
        <f t="shared" si="0"/>
        <v>38</v>
      </c>
      <c r="B43" s="50"/>
      <c r="C43" s="50"/>
      <c r="D43" s="50"/>
      <c r="E43" s="50"/>
      <c r="F43" s="50"/>
      <c r="G43" s="50" t="s">
        <v>143</v>
      </c>
      <c r="H43" s="50" t="s">
        <v>145</v>
      </c>
      <c r="I43" s="49" t="s">
        <v>48</v>
      </c>
      <c r="J43" s="52">
        <f>IF(I43="ILF",IF($C$1="预估功能点",'模板使用说明&amp;基础参数'!$E$15,'模板使用说明&amp;基础参数'!$E$22),IF(I43="EIF",IF($C$1="预估功能点",'模板使用说明&amp;基础参数'!$E$16,'模板使用说明&amp;基础参数'!$E$23),IF(I43="EI",IF($C$1="预估功能点",'模板使用说明&amp;基础参数'!$E$17,'模板使用说明&amp;基础参数'!$E$24),IF(I43="EO",IF($C$1="预估功能点",'模板使用说明&amp;基础参数'!$E$18,'模板使用说明&amp;基础参数'!$E$25),IF(I43="EQ",IF($C$1="预估功能点",'模板使用说明&amp;基础参数'!$E$19,'模板使用说明&amp;基础参数'!$E$26),"")))))</f>
        <v>10</v>
      </c>
      <c r="K43" s="53" t="s">
        <v>49</v>
      </c>
      <c r="L43" s="53" t="s">
        <v>50</v>
      </c>
      <c r="M43" s="54">
        <f>IF(J43="","",IF(K43="高",IF(L43="删除",J43*'模板使用说明&amp;基础参数'!$E$5*'模板使用说明&amp;基础参数'!$E$12,IF(L43="修改",J43*'模板使用说明&amp;基础参数'!$E$5*'模板使用说明&amp;基础参数'!$E$11,J43*'模板使用说明&amp;基础参数'!$E$5*'模板使用说明&amp;基础参数'!$E$10)),IF(K43="中",IF(L43="删除",J43*'模板使用说明&amp;基础参数'!$E$6*'模板使用说明&amp;基础参数'!$E$12,IF(L43="修改",J43*'模板使用说明&amp;基础参数'!$E$6*'模板使用说明&amp;基础参数'!$E$11,J43*'模板使用说明&amp;基础参数'!$E$6*'模板使用说明&amp;基础参数'!$E$10)),IF(L43="删除",J43*'模板使用说明&amp;基础参数'!$E$7*'模板使用说明&amp;基础参数'!$E$12,IF(L43="修改",J43*'模板使用说明&amp;基础参数'!$E$7*'模板使用说明&amp;基础参数'!$E$11,J43*'模板使用说明&amp;基础参数'!$E$7*'模板使用说明&amp;基础参数'!$E$10)))))</f>
        <v>2.6666666666666643</v>
      </c>
      <c r="N43" s="51"/>
    </row>
    <row r="44" spans="1:14" ht="81" x14ac:dyDescent="0.3">
      <c r="A44" s="49">
        <f t="shared" si="1"/>
        <v>39</v>
      </c>
      <c r="B44" s="50" t="s">
        <v>146</v>
      </c>
      <c r="C44" s="50" t="s">
        <v>147</v>
      </c>
      <c r="D44" s="50"/>
      <c r="E44" s="50"/>
      <c r="F44" s="50"/>
      <c r="G44" s="50" t="s">
        <v>148</v>
      </c>
      <c r="H44" s="50" t="s">
        <v>149</v>
      </c>
      <c r="I44" s="49" t="s">
        <v>43</v>
      </c>
      <c r="J44" s="52">
        <f>IF(I44="ILF",IF($C$1="预估功能点",'模板使用说明&amp;基础参数'!$E$15,'模板使用说明&amp;基础参数'!$E$22),IF(I44="EIF",IF($C$1="预估功能点",'模板使用说明&amp;基础参数'!$E$16,'模板使用说明&amp;基础参数'!$E$23),IF(I44="EI",IF($C$1="预估功能点",'模板使用说明&amp;基础参数'!$E$17,'模板使用说明&amp;基础参数'!$E$24),IF(I44="EO",IF($C$1="预估功能点",'模板使用说明&amp;基础参数'!$E$18,'模板使用说明&amp;基础参数'!$E$25),IF(I44="EQ",IF($C$1="预估功能点",'模板使用说明&amp;基础参数'!$E$19,'模板使用说明&amp;基础参数'!$E$26),"")))))</f>
        <v>4</v>
      </c>
      <c r="K44" s="53" t="s">
        <v>44</v>
      </c>
      <c r="L44" s="53" t="s">
        <v>50</v>
      </c>
      <c r="M44" s="54">
        <f>IF(J44="","",IF(K44="高",IF(L44="删除",J44*'模板使用说明&amp;基础参数'!$E$5*'模板使用说明&amp;基础参数'!$E$12,IF(L44="修改",J44*'模板使用说明&amp;基础参数'!$E$5*'模板使用说明&amp;基础参数'!$E$11,J44*'模板使用说明&amp;基础参数'!$E$5*'模板使用说明&amp;基础参数'!$E$10)),IF(K44="中",IF(L44="删除",J44*'模板使用说明&amp;基础参数'!$E$6*'模板使用说明&amp;基础参数'!$E$12,IF(L44="修改",J44*'模板使用说明&amp;基础参数'!$E$6*'模板使用说明&amp;基础参数'!$E$11,J44*'模板使用说明&amp;基础参数'!$E$6*'模板使用说明&amp;基础参数'!$E$10)),IF(L44="删除",J44*'模板使用说明&amp;基础参数'!$E$7*'模板使用说明&amp;基础参数'!$E$12,IF(L44="修改",J44*'模板使用说明&amp;基础参数'!$E$7*'模板使用说明&amp;基础参数'!$E$11,J44*'模板使用说明&amp;基础参数'!$E$7*'模板使用说明&amp;基础参数'!$E$10)))))</f>
        <v>2.1333333333333342</v>
      </c>
      <c r="N44" s="51" t="s">
        <v>150</v>
      </c>
    </row>
    <row r="45" spans="1:14" x14ac:dyDescent="0.3">
      <c r="A45" s="49">
        <f t="shared" si="1"/>
        <v>40</v>
      </c>
      <c r="B45" s="50"/>
      <c r="C45" s="50"/>
      <c r="D45" s="50"/>
      <c r="E45" s="50"/>
      <c r="F45" s="50"/>
      <c r="G45" s="50"/>
      <c r="H45" s="50" t="s">
        <v>151</v>
      </c>
      <c r="I45" s="49" t="s">
        <v>43</v>
      </c>
      <c r="J45" s="52">
        <f>IF(I45="ILF",IF($C$1="预估功能点",'模板使用说明&amp;基础参数'!$E$15,'模板使用说明&amp;基础参数'!$E$22),IF(I45="EIF",IF($C$1="预估功能点",'模板使用说明&amp;基础参数'!$E$16,'模板使用说明&amp;基础参数'!$E$23),IF(I45="EI",IF($C$1="预估功能点",'模板使用说明&amp;基础参数'!$E$17,'模板使用说明&amp;基础参数'!$E$24),IF(I45="EO",IF($C$1="预估功能点",'模板使用说明&amp;基础参数'!$E$18,'模板使用说明&amp;基础参数'!$E$25),IF(I45="EQ",IF($C$1="预估功能点",'模板使用说明&amp;基础参数'!$E$19,'模板使用说明&amp;基础参数'!$E$26),"")))))</f>
        <v>4</v>
      </c>
      <c r="K45" s="53" t="s">
        <v>44</v>
      </c>
      <c r="L45" s="53" t="s">
        <v>50</v>
      </c>
      <c r="M45" s="54">
        <f>IF(J45="","",IF(K45="高",IF(L45="删除",J45*'模板使用说明&amp;基础参数'!$E$5*'模板使用说明&amp;基础参数'!$E$12,IF(L45="修改",J45*'模板使用说明&amp;基础参数'!$E$5*'模板使用说明&amp;基础参数'!$E$11,J45*'模板使用说明&amp;基础参数'!$E$5*'模板使用说明&amp;基础参数'!$E$10)),IF(K45="中",IF(L45="删除",J45*'模板使用说明&amp;基础参数'!$E$6*'模板使用说明&amp;基础参数'!$E$12,IF(L45="修改",J45*'模板使用说明&amp;基础参数'!$E$6*'模板使用说明&amp;基础参数'!$E$11,J45*'模板使用说明&amp;基础参数'!$E$6*'模板使用说明&amp;基础参数'!$E$10)),IF(L45="删除",J45*'模板使用说明&amp;基础参数'!$E$7*'模板使用说明&amp;基础参数'!$E$12,IF(L45="修改",J45*'模板使用说明&amp;基础参数'!$E$7*'模板使用说明&amp;基础参数'!$E$11,J45*'模板使用说明&amp;基础参数'!$E$7*'模板使用说明&amp;基础参数'!$E$10)))))</f>
        <v>2.1333333333333342</v>
      </c>
      <c r="N45" s="51"/>
    </row>
    <row r="46" spans="1:14" ht="108" x14ac:dyDescent="0.3">
      <c r="A46" s="49">
        <f t="shared" ref="A46:A53" si="2">ROW()-5</f>
        <v>41</v>
      </c>
      <c r="B46" s="50"/>
      <c r="C46" s="50" t="s">
        <v>152</v>
      </c>
      <c r="D46" s="50"/>
      <c r="E46" s="50"/>
      <c r="F46" s="50"/>
      <c r="G46" s="50" t="s">
        <v>153</v>
      </c>
      <c r="H46" s="50" t="s">
        <v>154</v>
      </c>
      <c r="I46" s="49" t="s">
        <v>43</v>
      </c>
      <c r="J46" s="52">
        <f>IF(I46="ILF",IF($C$1="预估功能点",'模板使用说明&amp;基础参数'!$E$15,'模板使用说明&amp;基础参数'!$E$22),IF(I46="EIF",IF($C$1="预估功能点",'模板使用说明&amp;基础参数'!$E$16,'模板使用说明&amp;基础参数'!$E$23),IF(I46="EI",IF($C$1="预估功能点",'模板使用说明&amp;基础参数'!$E$17,'模板使用说明&amp;基础参数'!$E$24),IF(I46="EO",IF($C$1="预估功能点",'模板使用说明&amp;基础参数'!$E$18,'模板使用说明&amp;基础参数'!$E$25),IF(I46="EQ",IF($C$1="预估功能点",'模板使用说明&amp;基础参数'!$E$19,'模板使用说明&amp;基础参数'!$E$26),"")))))</f>
        <v>4</v>
      </c>
      <c r="K46" s="53" t="s">
        <v>44</v>
      </c>
      <c r="L46" s="53" t="s">
        <v>50</v>
      </c>
      <c r="M46" s="54">
        <f>IF(J46="","",IF(K46="高",IF(L46="删除",J46*'模板使用说明&amp;基础参数'!$E$5*'模板使用说明&amp;基础参数'!$E$12,IF(L46="修改",J46*'模板使用说明&amp;基础参数'!$E$5*'模板使用说明&amp;基础参数'!$E$11,J46*'模板使用说明&amp;基础参数'!$E$5*'模板使用说明&amp;基础参数'!$E$10)),IF(K46="中",IF(L46="删除",J46*'模板使用说明&amp;基础参数'!$E$6*'模板使用说明&amp;基础参数'!$E$12,IF(L46="修改",J46*'模板使用说明&amp;基础参数'!$E$6*'模板使用说明&amp;基础参数'!$E$11,J46*'模板使用说明&amp;基础参数'!$E$6*'模板使用说明&amp;基础参数'!$E$10)),IF(L46="删除",J46*'模板使用说明&amp;基础参数'!$E$7*'模板使用说明&amp;基础参数'!$E$12,IF(L46="修改",J46*'模板使用说明&amp;基础参数'!$E$7*'模板使用说明&amp;基础参数'!$E$11,J46*'模板使用说明&amp;基础参数'!$E$7*'模板使用说明&amp;基础参数'!$E$10)))))</f>
        <v>2.1333333333333342</v>
      </c>
      <c r="N46" s="51"/>
    </row>
    <row r="47" spans="1:14" x14ac:dyDescent="0.3">
      <c r="A47" s="49">
        <f t="shared" si="2"/>
        <v>42</v>
      </c>
      <c r="B47" s="50"/>
      <c r="C47" s="50"/>
      <c r="D47" s="50"/>
      <c r="E47" s="50"/>
      <c r="F47" s="50"/>
      <c r="G47" s="50"/>
      <c r="H47" s="50" t="s">
        <v>155</v>
      </c>
      <c r="I47" s="49" t="s">
        <v>43</v>
      </c>
      <c r="J47" s="52">
        <f>IF(I47="ILF",IF($C$1="预估功能点",'模板使用说明&amp;基础参数'!$E$15,'模板使用说明&amp;基础参数'!$E$22),IF(I47="EIF",IF($C$1="预估功能点",'模板使用说明&amp;基础参数'!$E$16,'模板使用说明&amp;基础参数'!$E$23),IF(I47="EI",IF($C$1="预估功能点",'模板使用说明&amp;基础参数'!$E$17,'模板使用说明&amp;基础参数'!$E$24),IF(I47="EO",IF($C$1="预估功能点",'模板使用说明&amp;基础参数'!$E$18,'模板使用说明&amp;基础参数'!$E$25),IF(I47="EQ",IF($C$1="预估功能点",'模板使用说明&amp;基础参数'!$E$19,'模板使用说明&amp;基础参数'!$E$26),"")))))</f>
        <v>4</v>
      </c>
      <c r="K47" s="53" t="s">
        <v>44</v>
      </c>
      <c r="L47" s="53" t="s">
        <v>50</v>
      </c>
      <c r="M47" s="54">
        <f>IF(J47="","",IF(K47="高",IF(L47="删除",J47*'模板使用说明&amp;基础参数'!$E$5*'模板使用说明&amp;基础参数'!$E$12,IF(L47="修改",J47*'模板使用说明&amp;基础参数'!$E$5*'模板使用说明&amp;基础参数'!$E$11,J47*'模板使用说明&amp;基础参数'!$E$5*'模板使用说明&amp;基础参数'!$E$10)),IF(K47="中",IF(L47="删除",J47*'模板使用说明&amp;基础参数'!$E$6*'模板使用说明&amp;基础参数'!$E$12,IF(L47="修改",J47*'模板使用说明&amp;基础参数'!$E$6*'模板使用说明&amp;基础参数'!$E$11,J47*'模板使用说明&amp;基础参数'!$E$6*'模板使用说明&amp;基础参数'!$E$10)),IF(L47="删除",J47*'模板使用说明&amp;基础参数'!$E$7*'模板使用说明&amp;基础参数'!$E$12,IF(L47="修改",J47*'模板使用说明&amp;基础参数'!$E$7*'模板使用说明&amp;基础参数'!$E$11,J47*'模板使用说明&amp;基础参数'!$E$7*'模板使用说明&amp;基础参数'!$E$10)))))</f>
        <v>2.1333333333333342</v>
      </c>
      <c r="N47" s="51"/>
    </row>
    <row r="48" spans="1:14" ht="54" x14ac:dyDescent="0.3">
      <c r="A48" s="49">
        <f t="shared" si="2"/>
        <v>43</v>
      </c>
      <c r="B48" s="50"/>
      <c r="C48" s="50" t="s">
        <v>156</v>
      </c>
      <c r="D48" s="50"/>
      <c r="E48" s="50"/>
      <c r="F48" s="50"/>
      <c r="G48" s="50" t="s">
        <v>157</v>
      </c>
      <c r="H48" s="50" t="s">
        <v>158</v>
      </c>
      <c r="I48" s="49" t="s">
        <v>56</v>
      </c>
      <c r="J48" s="52">
        <f>IF(I48="ILF",IF($C$1="预估功能点",'模板使用说明&amp;基础参数'!$E$15,'模板使用说明&amp;基础参数'!$E$22),IF(I48="EIF",IF($C$1="预估功能点",'模板使用说明&amp;基础参数'!$E$16,'模板使用说明&amp;基础参数'!$E$23),IF(I48="EI",IF($C$1="预估功能点",'模板使用说明&amp;基础参数'!$E$17,'模板使用说明&amp;基础参数'!$E$24),IF(I48="EO",IF($C$1="预估功能点",'模板使用说明&amp;基础参数'!$E$18,'模板使用说明&amp;基础参数'!$E$25),IF(I48="EQ",IF($C$1="预估功能点",'模板使用说明&amp;基础参数'!$E$19,'模板使用说明&amp;基础参数'!$E$26),"")))))</f>
        <v>4</v>
      </c>
      <c r="K48" s="53" t="s">
        <v>44</v>
      </c>
      <c r="L48" s="53" t="s">
        <v>50</v>
      </c>
      <c r="M48" s="54">
        <f>IF(J48="","",IF(K48="高",IF(L48="删除",J48*'模板使用说明&amp;基础参数'!$E$5*'模板使用说明&amp;基础参数'!$E$12,IF(L48="修改",J48*'模板使用说明&amp;基础参数'!$E$5*'模板使用说明&amp;基础参数'!$E$11,J48*'模板使用说明&amp;基础参数'!$E$5*'模板使用说明&amp;基础参数'!$E$10)),IF(K48="中",IF(L48="删除",J48*'模板使用说明&amp;基础参数'!$E$6*'模板使用说明&amp;基础参数'!$E$12,IF(L48="修改",J48*'模板使用说明&amp;基础参数'!$E$6*'模板使用说明&amp;基础参数'!$E$11,J48*'模板使用说明&amp;基础参数'!$E$6*'模板使用说明&amp;基础参数'!$E$10)),IF(L48="删除",J48*'模板使用说明&amp;基础参数'!$E$7*'模板使用说明&amp;基础参数'!$E$12,IF(L48="修改",J48*'模板使用说明&amp;基础参数'!$E$7*'模板使用说明&amp;基础参数'!$E$11,J48*'模板使用说明&amp;基础参数'!$E$7*'模板使用说明&amp;基础参数'!$E$10)))))</f>
        <v>2.1333333333333342</v>
      </c>
      <c r="N48" s="51"/>
    </row>
    <row r="49" spans="1:14" ht="54" x14ac:dyDescent="0.3">
      <c r="A49" s="49">
        <f t="shared" si="2"/>
        <v>44</v>
      </c>
      <c r="B49" s="50"/>
      <c r="C49" s="50" t="s">
        <v>159</v>
      </c>
      <c r="D49" s="50"/>
      <c r="E49" s="50"/>
      <c r="F49" s="50"/>
      <c r="G49" s="50" t="s">
        <v>160</v>
      </c>
      <c r="H49" s="50" t="s">
        <v>161</v>
      </c>
      <c r="I49" s="49" t="s">
        <v>56</v>
      </c>
      <c r="J49" s="52">
        <f>IF(I49="ILF",IF($C$1="预估功能点",'模板使用说明&amp;基础参数'!$E$15,'模板使用说明&amp;基础参数'!$E$22),IF(I49="EIF",IF($C$1="预估功能点",'模板使用说明&amp;基础参数'!$E$16,'模板使用说明&amp;基础参数'!$E$23),IF(I49="EI",IF($C$1="预估功能点",'模板使用说明&amp;基础参数'!$E$17,'模板使用说明&amp;基础参数'!$E$24),IF(I49="EO",IF($C$1="预估功能点",'模板使用说明&amp;基础参数'!$E$18,'模板使用说明&amp;基础参数'!$E$25),IF(I49="EQ",IF($C$1="预估功能点",'模板使用说明&amp;基础参数'!$E$19,'模板使用说明&amp;基础参数'!$E$26),"")))))</f>
        <v>4</v>
      </c>
      <c r="K49" s="53" t="s">
        <v>44</v>
      </c>
      <c r="L49" s="53" t="s">
        <v>50</v>
      </c>
      <c r="M49" s="54">
        <f>IF(J49="","",IF(K49="高",IF(L49="删除",J49*'模板使用说明&amp;基础参数'!$E$5*'模板使用说明&amp;基础参数'!$E$12,IF(L49="修改",J49*'模板使用说明&amp;基础参数'!$E$5*'模板使用说明&amp;基础参数'!$E$11,J49*'模板使用说明&amp;基础参数'!$E$5*'模板使用说明&amp;基础参数'!$E$10)),IF(K49="中",IF(L49="删除",J49*'模板使用说明&amp;基础参数'!$E$6*'模板使用说明&amp;基础参数'!$E$12,IF(L49="修改",J49*'模板使用说明&amp;基础参数'!$E$6*'模板使用说明&amp;基础参数'!$E$11,J49*'模板使用说明&amp;基础参数'!$E$6*'模板使用说明&amp;基础参数'!$E$10)),IF(L49="删除",J49*'模板使用说明&amp;基础参数'!$E$7*'模板使用说明&amp;基础参数'!$E$12,IF(L49="修改",J49*'模板使用说明&amp;基础参数'!$E$7*'模板使用说明&amp;基础参数'!$E$11,J49*'模板使用说明&amp;基础参数'!$E$7*'模板使用说明&amp;基础参数'!$E$10)))))</f>
        <v>2.1333333333333342</v>
      </c>
      <c r="N49" s="51"/>
    </row>
    <row r="50" spans="1:14" ht="94.5" x14ac:dyDescent="0.3">
      <c r="A50" s="49">
        <f t="shared" si="2"/>
        <v>45</v>
      </c>
      <c r="B50" s="50"/>
      <c r="C50" s="50" t="s">
        <v>162</v>
      </c>
      <c r="D50" s="50"/>
      <c r="E50" s="50"/>
      <c r="F50" s="50"/>
      <c r="G50" s="50" t="s">
        <v>163</v>
      </c>
      <c r="H50" s="50" t="s">
        <v>164</v>
      </c>
      <c r="I50" s="49" t="s">
        <v>56</v>
      </c>
      <c r="J50" s="52">
        <f>IF(I50="ILF",IF($C$1="预估功能点",'模板使用说明&amp;基础参数'!$E$15,'模板使用说明&amp;基础参数'!$E$22),IF(I50="EIF",IF($C$1="预估功能点",'模板使用说明&amp;基础参数'!$E$16,'模板使用说明&amp;基础参数'!$E$23),IF(I50="EI",IF($C$1="预估功能点",'模板使用说明&amp;基础参数'!$E$17,'模板使用说明&amp;基础参数'!$E$24),IF(I50="EO",IF($C$1="预估功能点",'模板使用说明&amp;基础参数'!$E$18,'模板使用说明&amp;基础参数'!$E$25),IF(I50="EQ",IF($C$1="预估功能点",'模板使用说明&amp;基础参数'!$E$19,'模板使用说明&amp;基础参数'!$E$26),"")))))</f>
        <v>4</v>
      </c>
      <c r="K50" s="53" t="s">
        <v>49</v>
      </c>
      <c r="L50" s="53" t="s">
        <v>50</v>
      </c>
      <c r="M50" s="54">
        <f>IF(J50="","",IF(K50="高",IF(L50="删除",J50*'模板使用说明&amp;基础参数'!$E$5*'模板使用说明&amp;基础参数'!$E$12,IF(L50="修改",J50*'模板使用说明&amp;基础参数'!$E$5*'模板使用说明&amp;基础参数'!$E$11,J50*'模板使用说明&amp;基础参数'!$E$5*'模板使用说明&amp;基础参数'!$E$10)),IF(K50="中",IF(L50="删除",J50*'模板使用说明&amp;基础参数'!$E$6*'模板使用说明&amp;基础参数'!$E$12,IF(L50="修改",J50*'模板使用说明&amp;基础参数'!$E$6*'模板使用说明&amp;基础参数'!$E$11,J50*'模板使用说明&amp;基础参数'!$E$6*'模板使用说明&amp;基础参数'!$E$10)),IF(L50="删除",J50*'模板使用说明&amp;基础参数'!$E$7*'模板使用说明&amp;基础参数'!$E$12,IF(L50="修改",J50*'模板使用说明&amp;基础参数'!$E$7*'模板使用说明&amp;基础参数'!$E$11,J50*'模板使用说明&amp;基础参数'!$E$7*'模板使用说明&amp;基础参数'!$E$10)))))</f>
        <v>1.0666666666666655</v>
      </c>
      <c r="N50" s="51"/>
    </row>
    <row r="51" spans="1:14" x14ac:dyDescent="0.3">
      <c r="A51" s="49">
        <f t="shared" si="2"/>
        <v>46</v>
      </c>
      <c r="B51" s="50"/>
      <c r="C51" s="50"/>
      <c r="D51" s="50"/>
      <c r="E51" s="50"/>
      <c r="F51" s="50"/>
      <c r="G51" s="50"/>
      <c r="H51" s="50" t="s">
        <v>165</v>
      </c>
      <c r="I51" s="49" t="s">
        <v>56</v>
      </c>
      <c r="J51" s="52">
        <f>IF(I51="ILF",IF($C$1="预估功能点",'模板使用说明&amp;基础参数'!$E$15,'模板使用说明&amp;基础参数'!$E$22),IF(I51="EIF",IF($C$1="预估功能点",'模板使用说明&amp;基础参数'!$E$16,'模板使用说明&amp;基础参数'!$E$23),IF(I51="EI",IF($C$1="预估功能点",'模板使用说明&amp;基础参数'!$E$17,'模板使用说明&amp;基础参数'!$E$24),IF(I51="EO",IF($C$1="预估功能点",'模板使用说明&amp;基础参数'!$E$18,'模板使用说明&amp;基础参数'!$E$25),IF(I51="EQ",IF($C$1="预估功能点",'模板使用说明&amp;基础参数'!$E$19,'模板使用说明&amp;基础参数'!$E$26),"")))))</f>
        <v>4</v>
      </c>
      <c r="K51" s="53" t="s">
        <v>49</v>
      </c>
      <c r="L51" s="53" t="s">
        <v>50</v>
      </c>
      <c r="M51" s="54">
        <f>IF(J51="","",IF(K51="高",IF(L51="删除",J51*'模板使用说明&amp;基础参数'!$E$5*'模板使用说明&amp;基础参数'!$E$12,IF(L51="修改",J51*'模板使用说明&amp;基础参数'!$E$5*'模板使用说明&amp;基础参数'!$E$11,J51*'模板使用说明&amp;基础参数'!$E$5*'模板使用说明&amp;基础参数'!$E$10)),IF(K51="中",IF(L51="删除",J51*'模板使用说明&amp;基础参数'!$E$6*'模板使用说明&amp;基础参数'!$E$12,IF(L51="修改",J51*'模板使用说明&amp;基础参数'!$E$6*'模板使用说明&amp;基础参数'!$E$11,J51*'模板使用说明&amp;基础参数'!$E$6*'模板使用说明&amp;基础参数'!$E$10)),IF(L51="删除",J51*'模板使用说明&amp;基础参数'!$E$7*'模板使用说明&amp;基础参数'!$E$12,IF(L51="修改",J51*'模板使用说明&amp;基础参数'!$E$7*'模板使用说明&amp;基础参数'!$E$11,J51*'模板使用说明&amp;基础参数'!$E$7*'模板使用说明&amp;基础参数'!$E$10)))))</f>
        <v>1.0666666666666655</v>
      </c>
      <c r="N51" s="51"/>
    </row>
    <row r="52" spans="1:14" ht="108" x14ac:dyDescent="0.3">
      <c r="A52" s="49">
        <f t="shared" si="2"/>
        <v>47</v>
      </c>
      <c r="B52" s="50"/>
      <c r="C52" s="50" t="s">
        <v>166</v>
      </c>
      <c r="D52" s="50"/>
      <c r="E52" s="50"/>
      <c r="F52" s="50"/>
      <c r="G52" s="50" t="s">
        <v>167</v>
      </c>
      <c r="H52" s="50"/>
      <c r="I52" s="49"/>
      <c r="J52" s="52" t="str">
        <f>IF(I52="ILF",IF($C$1="预估功能点",'模板使用说明&amp;基础参数'!$E$15,'模板使用说明&amp;基础参数'!$E$22),IF(I52="EIF",IF($C$1="预估功能点",'模板使用说明&amp;基础参数'!$E$16,'模板使用说明&amp;基础参数'!$E$23),IF(I52="EI",IF($C$1="预估功能点",'模板使用说明&amp;基础参数'!$E$17,'模板使用说明&amp;基础参数'!$E$24),IF(I52="EO",IF($C$1="预估功能点",'模板使用说明&amp;基础参数'!$E$18,'模板使用说明&amp;基础参数'!$E$25),IF(I52="EQ",IF($C$1="预估功能点",'模板使用说明&amp;基础参数'!$E$19,'模板使用说明&amp;基础参数'!$E$26),"")))))</f>
        <v/>
      </c>
      <c r="K52" s="53"/>
      <c r="L52" s="53"/>
      <c r="M52" s="54" t="str">
        <f>IF(J52="","",IF(K52="高",IF(L52="删除",J52*'模板使用说明&amp;基础参数'!$E$5*'模板使用说明&amp;基础参数'!$E$12,IF(L52="修改",J52*'模板使用说明&amp;基础参数'!$E$5*'模板使用说明&amp;基础参数'!$E$11,J52*'模板使用说明&amp;基础参数'!$E$5*'模板使用说明&amp;基础参数'!$E$10)),IF(K52="中",IF(L52="删除",J52*'模板使用说明&amp;基础参数'!$E$6*'模板使用说明&amp;基础参数'!$E$12,IF(L52="修改",J52*'模板使用说明&amp;基础参数'!$E$6*'模板使用说明&amp;基础参数'!$E$11,J52*'模板使用说明&amp;基础参数'!$E$6*'模板使用说明&amp;基础参数'!$E$10)),IF(L52="删除",J52*'模板使用说明&amp;基础参数'!$E$7*'模板使用说明&amp;基础参数'!$E$12,IF(L52="修改",J52*'模板使用说明&amp;基础参数'!$E$7*'模板使用说明&amp;基础参数'!$E$11,J52*'模板使用说明&amp;基础参数'!$E$7*'模板使用说明&amp;基础参数'!$E$10)))))</f>
        <v/>
      </c>
      <c r="N52" s="51" t="s">
        <v>52</v>
      </c>
    </row>
    <row r="53" spans="1:14" ht="54" x14ac:dyDescent="0.3">
      <c r="A53" s="49">
        <f t="shared" si="2"/>
        <v>48</v>
      </c>
      <c r="B53" s="50"/>
      <c r="C53" s="50" t="s">
        <v>168</v>
      </c>
      <c r="D53" s="50"/>
      <c r="E53" s="50"/>
      <c r="F53" s="50"/>
      <c r="G53" s="50" t="s">
        <v>169</v>
      </c>
      <c r="H53" s="50" t="s">
        <v>170</v>
      </c>
      <c r="I53" s="49" t="s">
        <v>43</v>
      </c>
      <c r="J53" s="52">
        <f>IF(I53="ILF",IF($C$1="预估功能点",'模板使用说明&amp;基础参数'!$E$15,'模板使用说明&amp;基础参数'!$E$22),IF(I53="EIF",IF($C$1="预估功能点",'模板使用说明&amp;基础参数'!$E$16,'模板使用说明&amp;基础参数'!$E$23),IF(I53="EI",IF($C$1="预估功能点",'模板使用说明&amp;基础参数'!$E$17,'模板使用说明&amp;基础参数'!$E$24),IF(I53="EO",IF($C$1="预估功能点",'模板使用说明&amp;基础参数'!$E$18,'模板使用说明&amp;基础参数'!$E$25),IF(I53="EQ",IF($C$1="预估功能点",'模板使用说明&amp;基础参数'!$E$19,'模板使用说明&amp;基础参数'!$E$26),"")))))</f>
        <v>4</v>
      </c>
      <c r="K53" s="53" t="s">
        <v>44</v>
      </c>
      <c r="L53" s="53" t="s">
        <v>50</v>
      </c>
      <c r="M53" s="54">
        <f>IF(J53="","",IF(K53="高",IF(L53="删除",J53*'模板使用说明&amp;基础参数'!$E$5*'模板使用说明&amp;基础参数'!$E$12,IF(L53="修改",J53*'模板使用说明&amp;基础参数'!$E$5*'模板使用说明&amp;基础参数'!$E$11,J53*'模板使用说明&amp;基础参数'!$E$5*'模板使用说明&amp;基础参数'!$E$10)),IF(K53="中",IF(L53="删除",J53*'模板使用说明&amp;基础参数'!$E$6*'模板使用说明&amp;基础参数'!$E$12,IF(L53="修改",J53*'模板使用说明&amp;基础参数'!$E$6*'模板使用说明&amp;基础参数'!$E$11,J53*'模板使用说明&amp;基础参数'!$E$6*'模板使用说明&amp;基础参数'!$E$10)),IF(L53="删除",J53*'模板使用说明&amp;基础参数'!$E$7*'模板使用说明&amp;基础参数'!$E$12,IF(L53="修改",J53*'模板使用说明&amp;基础参数'!$E$7*'模板使用说明&amp;基础参数'!$E$11,J53*'模板使用说明&amp;基础参数'!$E$7*'模板使用说明&amp;基础参数'!$E$10)))))</f>
        <v>2.1333333333333342</v>
      </c>
      <c r="N53" s="51"/>
    </row>
    <row r="54" spans="1:14" x14ac:dyDescent="0.3">
      <c r="A54" s="74" t="s">
        <v>171</v>
      </c>
      <c r="B54" s="74"/>
      <c r="C54" s="74"/>
      <c r="D54" s="74"/>
      <c r="E54" s="74"/>
      <c r="F54" s="75"/>
      <c r="G54" s="75"/>
      <c r="H54" s="74"/>
      <c r="I54" s="74"/>
      <c r="J54" s="55">
        <f>SUM(J6:J53)</f>
        <v>234</v>
      </c>
      <c r="K54" s="76"/>
      <c r="L54" s="76"/>
      <c r="M54" s="54">
        <f>SUM(M6:M53)</f>
        <v>105.06666666666673</v>
      </c>
      <c r="N54" s="51"/>
    </row>
  </sheetData>
  <autoFilter ref="A5:N54" xr:uid="{00000000-0009-0000-0000-000001000000}"/>
  <mergeCells count="9">
    <mergeCell ref="A4:N4"/>
    <mergeCell ref="A54:I54"/>
    <mergeCell ref="K54:L54"/>
    <mergeCell ref="A1:B1"/>
    <mergeCell ref="D1:N1"/>
    <mergeCell ref="A2:B2"/>
    <mergeCell ref="D2:N2"/>
    <mergeCell ref="A3:B3"/>
    <mergeCell ref="D3:N3"/>
  </mergeCells>
  <phoneticPr fontId="16" type="noConversion"/>
  <conditionalFormatting sqref="H6:H53">
    <cfRule type="duplicateValues" dxfId="3" priority="56"/>
    <cfRule type="duplicateValues" dxfId="2" priority="57"/>
    <cfRule type="duplicateValues" dxfId="1" priority="58"/>
  </conditionalFormatting>
  <conditionalFormatting sqref="H32:H43">
    <cfRule type="duplicateValues" dxfId="0" priority="46"/>
  </conditionalFormatting>
  <dataValidations count="4">
    <dataValidation type="list" allowBlank="1" showInputMessage="1" showErrorMessage="1" sqref="C1" xr:uid="{00000000-0002-0000-0100-000000000000}">
      <formula1>"预估功能点,估算功能点"</formula1>
    </dataValidation>
    <dataValidation type="list" allowBlank="1" showInputMessage="1" showErrorMessage="1" sqref="I6:I53" xr:uid="{00000000-0002-0000-0100-000001000000}">
      <formula1>"ILF,EIF,EI,EO,EQ"</formula1>
    </dataValidation>
    <dataValidation type="list" allowBlank="1" showInputMessage="1" showErrorMessage="1" sqref="K6:K53" xr:uid="{00000000-0002-0000-0100-000002000000}">
      <formula1>"高,中,低"</formula1>
    </dataValidation>
    <dataValidation type="list" allowBlank="1" showInputMessage="1" showErrorMessage="1" sqref="L6:L53" xr:uid="{00000000-0002-0000-0100-000003000000}">
      <formula1>"新增,修改,删除"</formula1>
    </dataValidation>
  </dataValidations>
  <pageMargins left="0.7" right="0.7" top="0.75" bottom="0.75" header="0.3" footer="0.3"/>
  <pageSetup paperSize="9"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2"/>
  <sheetViews>
    <sheetView workbookViewId="0">
      <selection activeCell="E28" sqref="E28"/>
    </sheetView>
  </sheetViews>
  <sheetFormatPr defaultColWidth="9" defaultRowHeight="14" x14ac:dyDescent="0.3"/>
  <cols>
    <col min="1" max="1" width="10.5" style="18" customWidth="1"/>
    <col min="2" max="2" width="25.58203125" style="18" customWidth="1"/>
    <col min="3" max="3" width="18.83203125" style="18" hidden="1" customWidth="1"/>
    <col min="4" max="4" width="11.58203125" style="18" customWidth="1"/>
    <col min="5" max="7" width="9.75" style="18" customWidth="1"/>
    <col min="8" max="8" width="27.08203125" style="19" customWidth="1"/>
    <col min="9" max="9" width="4.75" style="18" customWidth="1"/>
    <col min="10" max="10" width="13.08203125" style="18" customWidth="1"/>
    <col min="11" max="11" width="10" style="18" customWidth="1"/>
    <col min="12" max="12" width="9" style="18"/>
    <col min="13" max="13" width="12.83203125" style="18"/>
    <col min="14" max="16384" width="9" style="18"/>
  </cols>
  <sheetData>
    <row r="1" spans="1:11" x14ac:dyDescent="0.3">
      <c r="A1" s="91" t="s">
        <v>172</v>
      </c>
      <c r="B1" s="91"/>
      <c r="C1" s="88"/>
      <c r="D1" s="92" t="s">
        <v>173</v>
      </c>
      <c r="E1" s="93"/>
      <c r="F1" s="93"/>
      <c r="G1" s="93"/>
      <c r="H1" s="90" t="s">
        <v>174</v>
      </c>
    </row>
    <row r="2" spans="1:11" ht="35.25" customHeight="1" x14ac:dyDescent="0.3">
      <c r="A2" s="91"/>
      <c r="B2" s="91"/>
      <c r="C2" s="89"/>
      <c r="D2" s="8" t="s">
        <v>175</v>
      </c>
      <c r="E2" s="8" t="str">
        <f>规模估算!B6</f>
        <v>新一代电子票据系统</v>
      </c>
      <c r="F2" s="8" t="str">
        <f>规模估算!B32</f>
        <v>数据报送平台</v>
      </c>
      <c r="G2" s="8" t="str">
        <f>规模估算!B44</f>
        <v>信贷系统</v>
      </c>
      <c r="H2" s="90"/>
    </row>
    <row r="3" spans="1:11" x14ac:dyDescent="0.3">
      <c r="A3" s="86" t="s">
        <v>176</v>
      </c>
      <c r="B3" s="87"/>
      <c r="C3" s="21"/>
      <c r="D3" s="22">
        <f>SUM(E3:G3)</f>
        <v>105.06666666666666</v>
      </c>
      <c r="E3" s="23">
        <f>SUM(规模估算!$M6:$M31)</f>
        <v>64.000000000000028</v>
      </c>
      <c r="F3" s="23">
        <f>SUM(规模估算!$M32:$M43)</f>
        <v>23.999999999999979</v>
      </c>
      <c r="G3" s="23">
        <f>SUM(规模估算!$M44:$M53)</f>
        <v>17.06666666666667</v>
      </c>
      <c r="H3" s="24" t="s">
        <v>177</v>
      </c>
    </row>
    <row r="4" spans="1:11" x14ac:dyDescent="0.3">
      <c r="A4" s="86" t="s">
        <v>178</v>
      </c>
      <c r="B4" s="87"/>
      <c r="C4" s="21">
        <f>项目特征!D1</f>
        <v>1.21</v>
      </c>
      <c r="D4" s="25"/>
      <c r="E4" s="23">
        <f>$C4</f>
        <v>1.21</v>
      </c>
      <c r="F4" s="23">
        <f>$C4</f>
        <v>1.21</v>
      </c>
      <c r="G4" s="23">
        <f>$C4</f>
        <v>1.21</v>
      </c>
      <c r="H4" s="24" t="s">
        <v>179</v>
      </c>
    </row>
    <row r="5" spans="1:11" x14ac:dyDescent="0.3">
      <c r="A5" s="65" t="s">
        <v>180</v>
      </c>
      <c r="B5" s="66"/>
      <c r="C5" s="26">
        <f>C3*C4</f>
        <v>0</v>
      </c>
      <c r="D5" s="27">
        <f>SUM(E5:G5)</f>
        <v>127.13066666666667</v>
      </c>
      <c r="E5" s="28">
        <f>E3*E4</f>
        <v>77.440000000000026</v>
      </c>
      <c r="F5" s="28">
        <f>F3*F4</f>
        <v>29.039999999999974</v>
      </c>
      <c r="G5" s="28">
        <f>G3*G4</f>
        <v>20.65066666666667</v>
      </c>
      <c r="H5" s="29"/>
      <c r="J5" s="37" t="s">
        <v>181</v>
      </c>
      <c r="K5" s="37" t="s">
        <v>182</v>
      </c>
    </row>
    <row r="6" spans="1:11" x14ac:dyDescent="0.3">
      <c r="A6" s="100" t="s">
        <v>183</v>
      </c>
      <c r="B6" s="101"/>
      <c r="C6" s="22">
        <f>C7*0.8</f>
        <v>8.5359999999999996</v>
      </c>
      <c r="D6" s="25"/>
      <c r="E6" s="31">
        <f>E7*0.8</f>
        <v>8.5359999999999996</v>
      </c>
      <c r="F6" s="31">
        <f>F7*0.8</f>
        <v>8.5359999999999996</v>
      </c>
      <c r="G6" s="31">
        <f>G7*0.8</f>
        <v>8.5359999999999996</v>
      </c>
      <c r="H6" s="24"/>
      <c r="J6" s="38" t="s">
        <v>184</v>
      </c>
      <c r="K6" s="38">
        <v>10.67</v>
      </c>
    </row>
    <row r="7" spans="1:11" x14ac:dyDescent="0.3">
      <c r="A7" s="102"/>
      <c r="B7" s="103"/>
      <c r="C7" s="21">
        <v>10.67</v>
      </c>
      <c r="D7" s="25"/>
      <c r="E7" s="23">
        <v>10.67</v>
      </c>
      <c r="F7" s="23">
        <v>10.67</v>
      </c>
      <c r="G7" s="23">
        <v>10.67</v>
      </c>
      <c r="H7" s="24" t="s">
        <v>185</v>
      </c>
      <c r="J7" s="38" t="s">
        <v>186</v>
      </c>
      <c r="K7" s="38">
        <v>6.83</v>
      </c>
    </row>
    <row r="8" spans="1:11" x14ac:dyDescent="0.3">
      <c r="A8" s="104"/>
      <c r="B8" s="105"/>
      <c r="C8" s="22">
        <f>C7*1.2</f>
        <v>12.804</v>
      </c>
      <c r="D8" s="25"/>
      <c r="E8" s="31">
        <f>E7*1.2</f>
        <v>12.804</v>
      </c>
      <c r="F8" s="31">
        <f>F7*1.2</f>
        <v>12.804</v>
      </c>
      <c r="G8" s="31">
        <f>G7*1.2</f>
        <v>12.804</v>
      </c>
      <c r="H8" s="24"/>
      <c r="J8" s="38" t="s">
        <v>187</v>
      </c>
      <c r="K8" s="38">
        <v>4.08</v>
      </c>
    </row>
    <row r="9" spans="1:11" x14ac:dyDescent="0.3">
      <c r="A9" s="106" t="s">
        <v>188</v>
      </c>
      <c r="B9" s="95"/>
      <c r="C9" s="32">
        <f>C5*C6/8</f>
        <v>0</v>
      </c>
      <c r="D9" s="22">
        <f>SUM(E9:G9)</f>
        <v>135.64842133333335</v>
      </c>
      <c r="E9" s="33">
        <f>E5*E6/8</f>
        <v>82.628480000000025</v>
      </c>
      <c r="F9" s="33">
        <f>F5*F6/8</f>
        <v>30.98567999999997</v>
      </c>
      <c r="G9" s="33">
        <f>G5*G6/8</f>
        <v>22.034261333333337</v>
      </c>
      <c r="H9" s="29" t="s">
        <v>189</v>
      </c>
      <c r="J9" s="38" t="s">
        <v>190</v>
      </c>
      <c r="K9" s="38">
        <v>5.55</v>
      </c>
    </row>
    <row r="10" spans="1:11" x14ac:dyDescent="0.3">
      <c r="A10" s="96"/>
      <c r="B10" s="97"/>
      <c r="C10" s="32">
        <f>C5*C7/8</f>
        <v>0</v>
      </c>
      <c r="D10" s="27">
        <f>SUM(E10:G10)</f>
        <v>169.56052666666665</v>
      </c>
      <c r="E10" s="33">
        <f>E5*E7/8</f>
        <v>103.28560000000003</v>
      </c>
      <c r="F10" s="33">
        <f>F5*F7/8</f>
        <v>38.732099999999967</v>
      </c>
      <c r="G10" s="33">
        <f>G5*G7/8</f>
        <v>27.54282666666667</v>
      </c>
      <c r="H10" s="29" t="s">
        <v>191</v>
      </c>
      <c r="K10" s="39"/>
    </row>
    <row r="11" spans="1:11" x14ac:dyDescent="0.3">
      <c r="A11" s="98"/>
      <c r="B11" s="99"/>
      <c r="C11" s="32">
        <f>C5*C8/8</f>
        <v>0</v>
      </c>
      <c r="D11" s="22">
        <f>SUM(E11:G11)</f>
        <v>203.47263200000003</v>
      </c>
      <c r="E11" s="33">
        <f>E5*E8/8</f>
        <v>123.94272000000005</v>
      </c>
      <c r="F11" s="33">
        <f>F5*F8/8</f>
        <v>46.478519999999961</v>
      </c>
      <c r="G11" s="33">
        <f>G5*G8/8</f>
        <v>33.051392000000007</v>
      </c>
      <c r="H11" s="29" t="s">
        <v>192</v>
      </c>
      <c r="K11" s="39"/>
    </row>
    <row r="12" spans="1:11" x14ac:dyDescent="0.3">
      <c r="A12" s="107" t="s">
        <v>193</v>
      </c>
      <c r="B12" s="20" t="s">
        <v>2</v>
      </c>
      <c r="C12" s="21">
        <f>项目特征!D2</f>
        <v>1</v>
      </c>
      <c r="D12" s="25"/>
      <c r="E12" s="23">
        <f t="shared" ref="E12:E17" si="0">$C12</f>
        <v>1</v>
      </c>
      <c r="F12" s="23">
        <f t="shared" ref="F12:F17" si="1">$C12</f>
        <v>1</v>
      </c>
      <c r="G12" s="23">
        <f t="shared" ref="G12:G17" si="2">$C12</f>
        <v>1</v>
      </c>
      <c r="H12" s="24" t="s">
        <v>194</v>
      </c>
    </row>
    <row r="13" spans="1:11" x14ac:dyDescent="0.3">
      <c r="A13" s="107"/>
      <c r="B13" s="20" t="s">
        <v>4</v>
      </c>
      <c r="C13" s="21">
        <f>1+0.025*SUM(项目特征!D3:'项目特征'!D6)</f>
        <v>1</v>
      </c>
      <c r="D13" s="25"/>
      <c r="E13" s="23">
        <f t="shared" si="0"/>
        <v>1</v>
      </c>
      <c r="F13" s="23">
        <f t="shared" si="1"/>
        <v>1</v>
      </c>
      <c r="G13" s="23">
        <f t="shared" si="2"/>
        <v>1</v>
      </c>
      <c r="H13" s="24" t="s">
        <v>195</v>
      </c>
      <c r="J13" s="1"/>
    </row>
    <row r="14" spans="1:11" x14ac:dyDescent="0.3">
      <c r="A14" s="107"/>
      <c r="B14" s="20" t="s">
        <v>13</v>
      </c>
      <c r="C14" s="21">
        <f>项目特征!D7</f>
        <v>1</v>
      </c>
      <c r="D14" s="25"/>
      <c r="E14" s="23">
        <f t="shared" si="0"/>
        <v>1</v>
      </c>
      <c r="F14" s="23">
        <f t="shared" si="1"/>
        <v>1</v>
      </c>
      <c r="G14" s="23">
        <f t="shared" si="2"/>
        <v>1</v>
      </c>
      <c r="H14" s="24" t="s">
        <v>195</v>
      </c>
    </row>
    <row r="15" spans="1:11" x14ac:dyDescent="0.3">
      <c r="A15" s="107"/>
      <c r="B15" s="20" t="s">
        <v>15</v>
      </c>
      <c r="C15" s="21">
        <f>项目特征!D8</f>
        <v>1</v>
      </c>
      <c r="D15" s="25"/>
      <c r="E15" s="23">
        <f t="shared" si="0"/>
        <v>1</v>
      </c>
      <c r="F15" s="23">
        <f t="shared" si="1"/>
        <v>1</v>
      </c>
      <c r="G15" s="23">
        <f t="shared" si="2"/>
        <v>1</v>
      </c>
      <c r="H15" s="24" t="s">
        <v>195</v>
      </c>
    </row>
    <row r="16" spans="1:11" ht="13.5" customHeight="1" x14ac:dyDescent="0.3">
      <c r="A16" s="107"/>
      <c r="B16" s="20" t="s">
        <v>17</v>
      </c>
      <c r="C16" s="21">
        <f>项目特征!D9</f>
        <v>0.8</v>
      </c>
      <c r="D16" s="25"/>
      <c r="E16" s="23">
        <f t="shared" si="0"/>
        <v>0.8</v>
      </c>
      <c r="F16" s="23">
        <f t="shared" si="1"/>
        <v>0.8</v>
      </c>
      <c r="G16" s="23">
        <f t="shared" si="2"/>
        <v>0.8</v>
      </c>
      <c r="H16" s="24" t="s">
        <v>195</v>
      </c>
    </row>
    <row r="17" spans="1:8" ht="18.75" hidden="1" customHeight="1" x14ac:dyDescent="0.3">
      <c r="A17" s="107"/>
      <c r="B17" s="30" t="s">
        <v>196</v>
      </c>
      <c r="C17" s="21">
        <v>1</v>
      </c>
      <c r="D17" s="21"/>
      <c r="E17" s="23">
        <f t="shared" si="0"/>
        <v>1</v>
      </c>
      <c r="F17" s="23">
        <f t="shared" si="1"/>
        <v>1</v>
      </c>
      <c r="G17" s="23">
        <f t="shared" si="2"/>
        <v>1</v>
      </c>
      <c r="H17" s="24" t="s">
        <v>197</v>
      </c>
    </row>
    <row r="18" spans="1:8" ht="18.75" customHeight="1" x14ac:dyDescent="0.3">
      <c r="A18" s="65" t="s">
        <v>198</v>
      </c>
      <c r="B18" s="66"/>
      <c r="C18" s="21">
        <v>0</v>
      </c>
      <c r="D18" s="22">
        <f t="shared" ref="D18:D25" si="3">SUM(E18:G18)</f>
        <v>0</v>
      </c>
      <c r="E18" s="23">
        <v>0</v>
      </c>
      <c r="F18" s="23">
        <v>0</v>
      </c>
      <c r="G18" s="23">
        <v>0</v>
      </c>
      <c r="H18" s="24"/>
    </row>
    <row r="19" spans="1:8" x14ac:dyDescent="0.3">
      <c r="A19" s="106" t="s">
        <v>199</v>
      </c>
      <c r="B19" s="95"/>
      <c r="C19" s="34">
        <f>C9*C12*C13*C14*C15*C16*C17+C18</f>
        <v>0</v>
      </c>
      <c r="D19" s="22">
        <f t="shared" si="3"/>
        <v>108.51873706666667</v>
      </c>
      <c r="E19" s="35">
        <f>E9*E12*E13*E14*E15*E16*E17+E18</f>
        <v>66.102784000000028</v>
      </c>
      <c r="F19" s="35">
        <f>F9*F12*F13*F14*F15*F16*F17+F18</f>
        <v>24.788543999999977</v>
      </c>
      <c r="G19" s="35">
        <f>G9*G12*G13*G14*G15*G16*G17+G18</f>
        <v>17.627409066666669</v>
      </c>
      <c r="H19" s="29" t="s">
        <v>189</v>
      </c>
    </row>
    <row r="20" spans="1:8" x14ac:dyDescent="0.3">
      <c r="A20" s="96"/>
      <c r="B20" s="97"/>
      <c r="C20" s="26">
        <f>C10*C12*C13*C14*C15*C16*C17+C18</f>
        <v>0</v>
      </c>
      <c r="D20" s="27">
        <f t="shared" si="3"/>
        <v>135.64842133333335</v>
      </c>
      <c r="E20" s="28">
        <f>E10*E12*E13*E14*E15*E16*E17+E18</f>
        <v>82.628480000000025</v>
      </c>
      <c r="F20" s="28">
        <f>F10*F12*F13*F14*F15*F16*F17+F18</f>
        <v>30.985679999999974</v>
      </c>
      <c r="G20" s="28">
        <f>G10*G12*G13*G14*G15*G16*G17+G18</f>
        <v>22.034261333333337</v>
      </c>
      <c r="H20" s="29" t="s">
        <v>191</v>
      </c>
    </row>
    <row r="21" spans="1:8" x14ac:dyDescent="0.3">
      <c r="A21" s="98"/>
      <c r="B21" s="99"/>
      <c r="C21" s="34">
        <f>C11*C12*C13*C14*C15*C16*C17+C18</f>
        <v>0</v>
      </c>
      <c r="D21" s="22">
        <f t="shared" si="3"/>
        <v>162.7781056</v>
      </c>
      <c r="E21" s="35">
        <f>E11*E12*E13*E14*E15*E16*E17+E18</f>
        <v>99.154176000000049</v>
      </c>
      <c r="F21" s="35">
        <f>F11*F12*F13*F14*F15*F16*F17+F18</f>
        <v>37.182815999999967</v>
      </c>
      <c r="G21" s="35">
        <f>G11*G12*G13*G14*G15*G16*G17+G18</f>
        <v>26.441113600000008</v>
      </c>
      <c r="H21" s="29" t="s">
        <v>192</v>
      </c>
    </row>
    <row r="22" spans="1:8" x14ac:dyDescent="0.3">
      <c r="A22" s="65" t="s">
        <v>200</v>
      </c>
      <c r="B22" s="66"/>
      <c r="C22" s="34"/>
      <c r="D22" s="27">
        <f t="shared" si="3"/>
        <v>5.28</v>
      </c>
      <c r="E22" s="28">
        <v>2.2000000000000002</v>
      </c>
      <c r="F22" s="28">
        <v>3.08</v>
      </c>
      <c r="G22" s="28">
        <v>0</v>
      </c>
      <c r="H22" s="29" t="s">
        <v>201</v>
      </c>
    </row>
    <row r="23" spans="1:8" x14ac:dyDescent="0.3">
      <c r="A23" s="67" t="s">
        <v>202</v>
      </c>
      <c r="B23" s="67"/>
      <c r="C23" s="34"/>
      <c r="D23" s="22">
        <f t="shared" si="3"/>
        <v>103.23873706666667</v>
      </c>
      <c r="E23" s="35">
        <f>E19-E22</f>
        <v>63.902784000000025</v>
      </c>
      <c r="F23" s="35">
        <f>F19-F22</f>
        <v>21.708543999999975</v>
      </c>
      <c r="G23" s="35">
        <f>G19-G22</f>
        <v>17.627409066666669</v>
      </c>
      <c r="H23" s="29" t="s">
        <v>189</v>
      </c>
    </row>
    <row r="24" spans="1:8" x14ac:dyDescent="0.3">
      <c r="A24" s="67"/>
      <c r="B24" s="67"/>
      <c r="C24" s="34"/>
      <c r="D24" s="27">
        <f t="shared" si="3"/>
        <v>130.36842133333334</v>
      </c>
      <c r="E24" s="28">
        <f>E20-E22</f>
        <v>80.428480000000022</v>
      </c>
      <c r="F24" s="28">
        <f>F20-F22</f>
        <v>27.905679999999975</v>
      </c>
      <c r="G24" s="28">
        <f>G20-G22</f>
        <v>22.034261333333337</v>
      </c>
      <c r="H24" s="29" t="s">
        <v>191</v>
      </c>
    </row>
    <row r="25" spans="1:8" x14ac:dyDescent="0.3">
      <c r="A25" s="67"/>
      <c r="B25" s="67"/>
      <c r="C25" s="34"/>
      <c r="D25" s="22">
        <f t="shared" si="3"/>
        <v>157.49810560000003</v>
      </c>
      <c r="E25" s="35">
        <f>E21-E22</f>
        <v>96.954176000000047</v>
      </c>
      <c r="F25" s="35">
        <f>F21-F22</f>
        <v>34.102815999999969</v>
      </c>
      <c r="G25" s="35">
        <f>G21-G22</f>
        <v>26.441113600000008</v>
      </c>
      <c r="H25" s="29" t="s">
        <v>192</v>
      </c>
    </row>
    <row r="26" spans="1:8" ht="28" x14ac:dyDescent="0.3">
      <c r="A26" s="86" t="s">
        <v>203</v>
      </c>
      <c r="B26" s="87"/>
      <c r="C26" s="34">
        <v>2.57</v>
      </c>
      <c r="D26" s="25"/>
      <c r="E26" s="35">
        <v>2.57</v>
      </c>
      <c r="F26" s="35">
        <v>2.57</v>
      </c>
      <c r="G26" s="35">
        <v>2.57</v>
      </c>
      <c r="H26" s="24" t="s">
        <v>204</v>
      </c>
    </row>
    <row r="27" spans="1:8" x14ac:dyDescent="0.3">
      <c r="A27" s="94" t="s">
        <v>205</v>
      </c>
      <c r="B27" s="95"/>
      <c r="C27" s="34">
        <f>C19*C26/22</f>
        <v>0</v>
      </c>
      <c r="D27" s="22">
        <f t="shared" ref="D27:D32" si="4">SUM(E27:G27)</f>
        <v>12.676961557333334</v>
      </c>
      <c r="E27" s="35">
        <f>E19*E26/22</f>
        <v>7.7220070400000029</v>
      </c>
      <c r="F27" s="35">
        <f>F19*F26/22</f>
        <v>2.8957526399999973</v>
      </c>
      <c r="G27" s="35">
        <f>G19*G26/22</f>
        <v>2.0592018773333334</v>
      </c>
      <c r="H27" s="29" t="s">
        <v>206</v>
      </c>
    </row>
    <row r="28" spans="1:8" x14ac:dyDescent="0.3">
      <c r="A28" s="96"/>
      <c r="B28" s="97"/>
      <c r="C28" s="26">
        <f>C20*C26/22</f>
        <v>0</v>
      </c>
      <c r="D28" s="27">
        <f t="shared" si="4"/>
        <v>15.846201946666667</v>
      </c>
      <c r="E28" s="28">
        <f>E20*E26/22</f>
        <v>9.6525088000000032</v>
      </c>
      <c r="F28" s="28">
        <f>F20*F26/22</f>
        <v>3.6196907999999968</v>
      </c>
      <c r="G28" s="28">
        <f>G20*G26/22</f>
        <v>2.5740023466666671</v>
      </c>
      <c r="H28" s="29" t="s">
        <v>207</v>
      </c>
    </row>
    <row r="29" spans="1:8" x14ac:dyDescent="0.3">
      <c r="A29" s="98"/>
      <c r="B29" s="99"/>
      <c r="C29" s="34">
        <f>C21*C26/22</f>
        <v>0</v>
      </c>
      <c r="D29" s="22">
        <f t="shared" si="4"/>
        <v>19.015442336000003</v>
      </c>
      <c r="E29" s="35">
        <f>E21*E26/22</f>
        <v>11.583010560000005</v>
      </c>
      <c r="F29" s="35">
        <f>F21*F26/22</f>
        <v>4.3436289599999958</v>
      </c>
      <c r="G29" s="35">
        <f>G21*G26/22</f>
        <v>3.0888028160000007</v>
      </c>
      <c r="H29" s="29" t="s">
        <v>208</v>
      </c>
    </row>
    <row r="30" spans="1:8" x14ac:dyDescent="0.3">
      <c r="A30" s="94" t="s">
        <v>209</v>
      </c>
      <c r="B30" s="95"/>
      <c r="D30" s="31">
        <f t="shared" si="4"/>
        <v>12.07</v>
      </c>
      <c r="E30" s="35">
        <f>ROUND(E23*E26/22,2)</f>
        <v>7.47</v>
      </c>
      <c r="F30" s="35">
        <f>ROUND(F23*F26/22,2)</f>
        <v>2.54</v>
      </c>
      <c r="G30" s="35">
        <f>ROUND(G23*G26/22,2)</f>
        <v>2.06</v>
      </c>
      <c r="H30" s="29" t="s">
        <v>206</v>
      </c>
    </row>
    <row r="31" spans="1:8" x14ac:dyDescent="0.3">
      <c r="A31" s="96"/>
      <c r="B31" s="97"/>
      <c r="D31" s="36">
        <f t="shared" si="4"/>
        <v>15.23</v>
      </c>
      <c r="E31" s="28">
        <f>ROUND(E24*E26/22,2)</f>
        <v>9.4</v>
      </c>
      <c r="F31" s="28">
        <f>ROUND(F24*F26/22,2)</f>
        <v>3.26</v>
      </c>
      <c r="G31" s="28">
        <f>ROUND(G24*G26/22,2)</f>
        <v>2.57</v>
      </c>
      <c r="H31" s="29" t="s">
        <v>207</v>
      </c>
    </row>
    <row r="32" spans="1:8" x14ac:dyDescent="0.3">
      <c r="A32" s="98"/>
      <c r="B32" s="99"/>
      <c r="D32" s="31">
        <f t="shared" si="4"/>
        <v>18.399999999999999</v>
      </c>
      <c r="E32" s="35">
        <f>ROUND(E25*E26/22,2)</f>
        <v>11.33</v>
      </c>
      <c r="F32" s="35">
        <f>ROUND(F25*F26/22,2)</f>
        <v>3.98</v>
      </c>
      <c r="G32" s="35">
        <f>ROUND(G25*G26/22,2)</f>
        <v>3.09</v>
      </c>
      <c r="H32" s="29" t="s">
        <v>208</v>
      </c>
    </row>
  </sheetData>
  <mergeCells count="17">
    <mergeCell ref="A27:B29"/>
    <mergeCell ref="A23:B25"/>
    <mergeCell ref="A30:B32"/>
    <mergeCell ref="A6:B8"/>
    <mergeCell ref="A9:B11"/>
    <mergeCell ref="A19:B21"/>
    <mergeCell ref="A22:B22"/>
    <mergeCell ref="A26:B26"/>
    <mergeCell ref="A12:A17"/>
    <mergeCell ref="A4:B4"/>
    <mergeCell ref="A5:B5"/>
    <mergeCell ref="A18:B18"/>
    <mergeCell ref="C1:C2"/>
    <mergeCell ref="H1:H2"/>
    <mergeCell ref="A1:B2"/>
    <mergeCell ref="D1:G1"/>
    <mergeCell ref="A3:B3"/>
  </mergeCells>
  <phoneticPr fontId="16" type="noConversion"/>
  <pageMargins left="0.7" right="0.7" top="0.75" bottom="0.75" header="0.3" footer="0.3"/>
  <pageSetup paperSize="9" orientation="portrait"/>
  <ignoredErrors>
    <ignoredError sqref="D24:D25 D22" emptyCellReference="1"/>
    <ignoredError sqref="D19:D21 D9:D11 D5 D26:D29"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I54"/>
  <sheetViews>
    <sheetView workbookViewId="0">
      <selection activeCell="L9" sqref="L9"/>
    </sheetView>
  </sheetViews>
  <sheetFormatPr defaultColWidth="9" defaultRowHeight="14" x14ac:dyDescent="0.3"/>
  <cols>
    <col min="1" max="2" width="10.75" style="1" customWidth="1"/>
    <col min="3" max="3" width="20.75" style="1" customWidth="1"/>
    <col min="4" max="4" width="10.75" style="1" hidden="1" customWidth="1"/>
    <col min="5" max="5" width="15.75" style="1" hidden="1" customWidth="1"/>
    <col min="6" max="6" width="10.75" style="1" hidden="1" customWidth="1"/>
    <col min="7" max="7" width="13.25" style="1" hidden="1" customWidth="1"/>
    <col min="8" max="8" width="60.75" style="1" hidden="1" customWidth="1"/>
    <col min="9" max="9" width="10.75" style="1" hidden="1" customWidth="1"/>
    <col min="10" max="10" width="4.75" style="1" customWidth="1"/>
    <col min="11" max="16384" width="9" style="1"/>
  </cols>
  <sheetData>
    <row r="2" spans="1:9" x14ac:dyDescent="0.3">
      <c r="A2" s="1" t="s">
        <v>210</v>
      </c>
    </row>
    <row r="3" spans="1:9" x14ac:dyDescent="0.3">
      <c r="A3" s="1" t="s">
        <v>211</v>
      </c>
    </row>
    <row r="4" spans="1:9" x14ac:dyDescent="0.3">
      <c r="A4" s="2" t="s">
        <v>212</v>
      </c>
      <c r="B4" s="1" t="s">
        <v>213</v>
      </c>
      <c r="D4" s="108" t="s">
        <v>214</v>
      </c>
      <c r="E4" s="109"/>
      <c r="G4" s="110"/>
      <c r="H4" s="110"/>
    </row>
    <row r="5" spans="1:9" x14ac:dyDescent="0.3">
      <c r="A5" s="3" t="s">
        <v>215</v>
      </c>
      <c r="B5" s="1" t="s">
        <v>216</v>
      </c>
      <c r="D5" s="4" t="s">
        <v>49</v>
      </c>
      <c r="E5" s="5">
        <v>0.33333333333333298</v>
      </c>
      <c r="G5" s="6"/>
      <c r="H5" s="7"/>
    </row>
    <row r="6" spans="1:9" x14ac:dyDescent="0.3">
      <c r="A6" s="8" t="s">
        <v>217</v>
      </c>
      <c r="B6" s="1" t="s">
        <v>218</v>
      </c>
      <c r="D6" s="4" t="s">
        <v>44</v>
      </c>
      <c r="E6" s="5">
        <v>0.66666666666666696</v>
      </c>
      <c r="G6" s="6"/>
      <c r="H6" s="7"/>
    </row>
    <row r="7" spans="1:9" x14ac:dyDescent="0.3">
      <c r="A7" s="6" t="s">
        <v>219</v>
      </c>
      <c r="B7" s="1" t="s">
        <v>220</v>
      </c>
      <c r="D7" s="4" t="s">
        <v>114</v>
      </c>
      <c r="E7" s="5">
        <v>1</v>
      </c>
      <c r="G7" s="6"/>
      <c r="H7" s="7"/>
    </row>
    <row r="8" spans="1:9" x14ac:dyDescent="0.3">
      <c r="E8" s="9"/>
      <c r="G8" s="6"/>
      <c r="H8" s="7"/>
    </row>
    <row r="9" spans="1:9" x14ac:dyDescent="0.3">
      <c r="D9" s="108" t="s">
        <v>221</v>
      </c>
      <c r="E9" s="109"/>
      <c r="G9" s="10" t="s">
        <v>2</v>
      </c>
      <c r="H9" s="10" t="s">
        <v>222</v>
      </c>
      <c r="I9" s="10" t="s">
        <v>193</v>
      </c>
    </row>
    <row r="10" spans="1:9" x14ac:dyDescent="0.3">
      <c r="D10" s="4" t="s">
        <v>45</v>
      </c>
      <c r="E10" s="5">
        <v>1</v>
      </c>
      <c r="G10" s="11" t="s">
        <v>3</v>
      </c>
      <c r="H10" s="12" t="s">
        <v>223</v>
      </c>
      <c r="I10" s="16">
        <v>1</v>
      </c>
    </row>
    <row r="11" spans="1:9" x14ac:dyDescent="0.3">
      <c r="D11" s="4" t="s">
        <v>50</v>
      </c>
      <c r="E11" s="5">
        <v>0.8</v>
      </c>
      <c r="G11" s="11" t="s">
        <v>224</v>
      </c>
      <c r="H11" s="12" t="s">
        <v>225</v>
      </c>
      <c r="I11" s="16">
        <v>1.2</v>
      </c>
    </row>
    <row r="12" spans="1:9" x14ac:dyDescent="0.3">
      <c r="D12" s="4" t="s">
        <v>226</v>
      </c>
      <c r="E12" s="5">
        <v>0.2</v>
      </c>
      <c r="G12" s="11" t="s">
        <v>227</v>
      </c>
      <c r="H12" s="12" t="s">
        <v>228</v>
      </c>
      <c r="I12" s="16">
        <v>1.2</v>
      </c>
    </row>
    <row r="13" spans="1:9" x14ac:dyDescent="0.3">
      <c r="E13" s="9"/>
      <c r="G13" s="11" t="s">
        <v>229</v>
      </c>
      <c r="H13" s="12" t="s">
        <v>230</v>
      </c>
      <c r="I13" s="16">
        <v>1.3</v>
      </c>
    </row>
    <row r="14" spans="1:9" x14ac:dyDescent="0.3">
      <c r="D14" s="108" t="s">
        <v>231</v>
      </c>
      <c r="E14" s="109"/>
      <c r="G14" s="11" t="s">
        <v>232</v>
      </c>
      <c r="H14" s="13" t="s">
        <v>233</v>
      </c>
      <c r="I14" s="16">
        <v>1.7</v>
      </c>
    </row>
    <row r="15" spans="1:9" x14ac:dyDescent="0.3">
      <c r="D15" s="4" t="s">
        <v>48</v>
      </c>
      <c r="E15" s="5">
        <v>35</v>
      </c>
      <c r="G15" s="11" t="s">
        <v>234</v>
      </c>
      <c r="H15" s="12" t="s">
        <v>235</v>
      </c>
      <c r="I15" s="16">
        <v>1.7</v>
      </c>
    </row>
    <row r="16" spans="1:9" x14ac:dyDescent="0.3">
      <c r="D16" s="4" t="s">
        <v>236</v>
      </c>
      <c r="E16" s="5">
        <v>15</v>
      </c>
      <c r="G16" s="11" t="s">
        <v>237</v>
      </c>
      <c r="H16" s="12" t="s">
        <v>238</v>
      </c>
      <c r="I16" s="16">
        <v>1.9</v>
      </c>
    </row>
    <row r="17" spans="4:9" x14ac:dyDescent="0.3">
      <c r="D17" s="4" t="s">
        <v>43</v>
      </c>
      <c r="E17" s="5"/>
      <c r="G17" s="11" t="s">
        <v>239</v>
      </c>
      <c r="H17" s="12" t="s">
        <v>240</v>
      </c>
      <c r="I17" s="16">
        <v>2</v>
      </c>
    </row>
    <row r="18" spans="4:9" x14ac:dyDescent="0.3">
      <c r="D18" s="4" t="s">
        <v>123</v>
      </c>
      <c r="E18" s="5"/>
    </row>
    <row r="19" spans="4:9" x14ac:dyDescent="0.3">
      <c r="D19" s="4" t="s">
        <v>56</v>
      </c>
      <c r="E19" s="5"/>
      <c r="G19" s="10" t="s">
        <v>193</v>
      </c>
      <c r="H19" s="10" t="s">
        <v>241</v>
      </c>
      <c r="I19" s="10" t="s">
        <v>193</v>
      </c>
    </row>
    <row r="20" spans="4:9" x14ac:dyDescent="0.3">
      <c r="E20" s="9"/>
      <c r="G20" s="111" t="s">
        <v>5</v>
      </c>
      <c r="H20" s="12" t="s">
        <v>242</v>
      </c>
      <c r="I20" s="11">
        <v>-1</v>
      </c>
    </row>
    <row r="21" spans="4:9" x14ac:dyDescent="0.3">
      <c r="D21" s="108" t="s">
        <v>20</v>
      </c>
      <c r="E21" s="109"/>
      <c r="G21" s="111"/>
      <c r="H21" s="12" t="s">
        <v>6</v>
      </c>
      <c r="I21" s="11">
        <v>0</v>
      </c>
    </row>
    <row r="22" spans="4:9" ht="28" x14ac:dyDescent="0.3">
      <c r="D22" s="4" t="s">
        <v>48</v>
      </c>
      <c r="E22" s="5">
        <v>10</v>
      </c>
      <c r="G22" s="111"/>
      <c r="H22" s="12" t="s">
        <v>243</v>
      </c>
      <c r="I22" s="11">
        <v>1</v>
      </c>
    </row>
    <row r="23" spans="4:9" x14ac:dyDescent="0.3">
      <c r="D23" s="4" t="s">
        <v>236</v>
      </c>
      <c r="E23" s="5">
        <v>7</v>
      </c>
      <c r="G23" s="111" t="s">
        <v>7</v>
      </c>
      <c r="H23" s="12" t="s">
        <v>244</v>
      </c>
      <c r="I23" s="11">
        <v>-1</v>
      </c>
    </row>
    <row r="24" spans="4:9" ht="28" x14ac:dyDescent="0.3">
      <c r="D24" s="4" t="s">
        <v>43</v>
      </c>
      <c r="E24" s="5">
        <v>4</v>
      </c>
      <c r="G24" s="111"/>
      <c r="H24" s="12" t="s">
        <v>8</v>
      </c>
      <c r="I24" s="11">
        <v>0</v>
      </c>
    </row>
    <row r="25" spans="4:9" ht="28" x14ac:dyDescent="0.3">
      <c r="D25" s="4" t="s">
        <v>123</v>
      </c>
      <c r="E25" s="5">
        <v>5</v>
      </c>
      <c r="G25" s="111"/>
      <c r="H25" s="12" t="s">
        <v>245</v>
      </c>
      <c r="I25" s="11">
        <v>1</v>
      </c>
    </row>
    <row r="26" spans="4:9" x14ac:dyDescent="0.3">
      <c r="D26" s="4" t="s">
        <v>56</v>
      </c>
      <c r="E26" s="5">
        <v>4</v>
      </c>
      <c r="G26" s="111" t="s">
        <v>9</v>
      </c>
      <c r="H26" s="12" t="s">
        <v>246</v>
      </c>
      <c r="I26" s="11">
        <v>-1</v>
      </c>
    </row>
    <row r="27" spans="4:9" x14ac:dyDescent="0.3">
      <c r="G27" s="111"/>
      <c r="H27" s="12" t="s">
        <v>10</v>
      </c>
      <c r="I27" s="11">
        <v>0</v>
      </c>
    </row>
    <row r="28" spans="4:9" x14ac:dyDescent="0.3">
      <c r="G28" s="111"/>
      <c r="H28" s="12" t="s">
        <v>247</v>
      </c>
      <c r="I28" s="11">
        <v>1</v>
      </c>
    </row>
    <row r="29" spans="4:9" x14ac:dyDescent="0.3">
      <c r="G29" s="111" t="s">
        <v>11</v>
      </c>
      <c r="H29" s="12" t="s">
        <v>248</v>
      </c>
      <c r="I29" s="11">
        <v>-1</v>
      </c>
    </row>
    <row r="30" spans="4:9" x14ac:dyDescent="0.3">
      <c r="G30" s="111"/>
      <c r="H30" s="12" t="s">
        <v>12</v>
      </c>
      <c r="I30" s="11">
        <v>0</v>
      </c>
    </row>
    <row r="31" spans="4:9" x14ac:dyDescent="0.3">
      <c r="G31" s="111"/>
      <c r="H31" s="12" t="s">
        <v>249</v>
      </c>
      <c r="I31" s="11">
        <v>1</v>
      </c>
    </row>
    <row r="34" spans="8:9" x14ac:dyDescent="0.3">
      <c r="H34" s="10" t="s">
        <v>15</v>
      </c>
      <c r="I34" s="10" t="s">
        <v>193</v>
      </c>
    </row>
    <row r="35" spans="8:9" x14ac:dyDescent="0.3">
      <c r="H35" s="14" t="s">
        <v>250</v>
      </c>
      <c r="I35" s="16">
        <v>1.5</v>
      </c>
    </row>
    <row r="36" spans="8:9" x14ac:dyDescent="0.3">
      <c r="H36" s="14" t="s">
        <v>16</v>
      </c>
      <c r="I36" s="16">
        <v>1</v>
      </c>
    </row>
    <row r="37" spans="8:9" x14ac:dyDescent="0.3">
      <c r="H37" s="14" t="s">
        <v>251</v>
      </c>
      <c r="I37" s="16">
        <v>0.6</v>
      </c>
    </row>
    <row r="40" spans="8:9" x14ac:dyDescent="0.3">
      <c r="H40" s="10" t="s">
        <v>17</v>
      </c>
      <c r="I40" s="10" t="s">
        <v>193</v>
      </c>
    </row>
    <row r="41" spans="8:9" x14ac:dyDescent="0.3">
      <c r="H41" s="14" t="s">
        <v>18</v>
      </c>
      <c r="I41" s="16">
        <v>0.8</v>
      </c>
    </row>
    <row r="42" spans="8:9" x14ac:dyDescent="0.3">
      <c r="H42" s="14" t="s">
        <v>252</v>
      </c>
      <c r="I42" s="16">
        <v>1</v>
      </c>
    </row>
    <row r="43" spans="8:9" x14ac:dyDescent="0.3">
      <c r="H43" s="14" t="s">
        <v>253</v>
      </c>
      <c r="I43" s="16">
        <v>1.2</v>
      </c>
    </row>
    <row r="45" spans="8:9" x14ac:dyDescent="0.3">
      <c r="H45" s="10" t="s">
        <v>13</v>
      </c>
      <c r="I45" s="10" t="s">
        <v>193</v>
      </c>
    </row>
    <row r="46" spans="8:9" x14ac:dyDescent="0.3">
      <c r="H46" s="14" t="s">
        <v>14</v>
      </c>
      <c r="I46" s="16">
        <v>1</v>
      </c>
    </row>
    <row r="47" spans="8:9" x14ac:dyDescent="0.3">
      <c r="H47" s="14" t="s">
        <v>254</v>
      </c>
      <c r="I47" s="16">
        <v>1.1000000000000001</v>
      </c>
    </row>
    <row r="48" spans="8:9" ht="28" x14ac:dyDescent="0.3">
      <c r="H48" s="14" t="s">
        <v>255</v>
      </c>
      <c r="I48" s="16">
        <v>1.3</v>
      </c>
    </row>
    <row r="50" spans="8:9" x14ac:dyDescent="0.3">
      <c r="H50" s="108" t="s">
        <v>256</v>
      </c>
      <c r="I50" s="109"/>
    </row>
    <row r="51" spans="8:9" x14ac:dyDescent="0.3">
      <c r="H51" s="15" t="s">
        <v>257</v>
      </c>
      <c r="I51" s="17">
        <v>1.39</v>
      </c>
    </row>
    <row r="52" spans="8:9" x14ac:dyDescent="0.3">
      <c r="H52" s="15" t="s">
        <v>1</v>
      </c>
      <c r="I52" s="17">
        <v>1.21</v>
      </c>
    </row>
    <row r="53" spans="8:9" x14ac:dyDescent="0.3">
      <c r="H53" s="15" t="s">
        <v>258</v>
      </c>
      <c r="I53" s="17">
        <v>1.1000000000000001</v>
      </c>
    </row>
    <row r="54" spans="8:9" x14ac:dyDescent="0.3">
      <c r="H54" s="15" t="s">
        <v>259</v>
      </c>
      <c r="I54" s="17">
        <v>1</v>
      </c>
    </row>
  </sheetData>
  <sheetProtection password="8562" sheet="1" objects="1"/>
  <mergeCells count="10">
    <mergeCell ref="H50:I50"/>
    <mergeCell ref="G20:G22"/>
    <mergeCell ref="G23:G25"/>
    <mergeCell ref="G26:G28"/>
    <mergeCell ref="G29:G31"/>
    <mergeCell ref="D4:E4"/>
    <mergeCell ref="G4:H4"/>
    <mergeCell ref="D9:E9"/>
    <mergeCell ref="D14:E14"/>
    <mergeCell ref="D21:E21"/>
  </mergeCells>
  <phoneticPr fontId="1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 master="" otherUserPermission="visible"/>
  <rangeList sheetStid="1" master="" otherUserPermission="visible"/>
  <rangeList sheetStid="2"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项目特征</vt:lpstr>
      <vt:lpstr>规模估算</vt:lpstr>
      <vt:lpstr>费用估算</vt:lpstr>
      <vt:lpstr>模板使用说明&amp;基础参数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开发费用评估</dc:subject>
  <dc:creator>ThinkPad X13</dc:creator>
  <cp:lastModifiedBy>南 王</cp:lastModifiedBy>
  <dcterms:created xsi:type="dcterms:W3CDTF">2015-06-05T18:19:00Z</dcterms:created>
  <dcterms:modified xsi:type="dcterms:W3CDTF">2026-09-09T02:08:34Z</dcterms:modified>
  <cp:category>模板</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2052-12.8.2.21177</vt:lpwstr>
  </property>
  <property fmtid="{D5CDD505-2E9C-101B-9397-08002B2CF9AE}" pid="3" name="ICV">
    <vt:lpwstr>78A982DAEDF94982A32533BA4B7E3DD4</vt:lpwstr>
  </property>
  <property fmtid="{D5CDD505-2E9C-101B-9397-08002B2CF9AE}" pid="4" name="KSOReadingLayout">
    <vt:bool>true</vt:bool>
  </property>
</Properties>
</file>